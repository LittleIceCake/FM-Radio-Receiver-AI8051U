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en\Desktop\"/>
    </mc:Choice>
  </mc:AlternateContent>
  <xr:revisionPtr revIDLastSave="0" documentId="13_ncr:1_{2E006590-CEBF-4981-AE83-3028D8BE495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6" i="1" l="1"/>
  <c r="J4" i="1"/>
  <c r="J5" i="1" s="1"/>
  <c r="K147" i="1"/>
  <c r="J147" i="1"/>
  <c r="J85" i="1"/>
  <c r="K176" i="1"/>
  <c r="K129" i="1"/>
  <c r="K130" i="1" s="1"/>
  <c r="J129" i="1"/>
  <c r="J130" i="1" s="1"/>
  <c r="K101" i="1"/>
  <c r="K102" i="1" s="1"/>
  <c r="J101" i="1"/>
  <c r="J102" i="1" s="1"/>
  <c r="K84" i="1"/>
  <c r="K85" i="1" s="1"/>
  <c r="J84" i="1"/>
  <c r="K54" i="1"/>
  <c r="K55" i="1" s="1"/>
  <c r="J54" i="1"/>
  <c r="J55" i="1" s="1"/>
  <c r="K30" i="1"/>
  <c r="K31" i="1" s="1"/>
  <c r="J30" i="1"/>
  <c r="J31" i="1" s="1"/>
  <c r="K4" i="1"/>
  <c r="K5" i="1" s="1"/>
</calcChain>
</file>

<file path=xl/sharedStrings.xml><?xml version="1.0" encoding="utf-8"?>
<sst xmlns="http://schemas.openxmlformats.org/spreadsheetml/2006/main" count="451" uniqueCount="275">
  <si>
    <t>寄存器</t>
  </si>
  <si>
    <t>位段</t>
  </si>
  <si>
    <t>名称</t>
  </si>
  <si>
    <t>功能</t>
  </si>
  <si>
    <t>默认值</t>
  </si>
  <si>
    <t>00H</t>
  </si>
  <si>
    <t>CHIPID[7:0]</t>
  </si>
  <si>
    <t>芯片ID。</t>
  </si>
  <si>
    <t>0x58</t>
  </si>
  <si>
    <t>02H</t>
  </si>
  <si>
    <t>DMUTE</t>
  </si>
  <si>
    <t>MONO</t>
  </si>
  <si>
    <t>BASS</t>
  </si>
  <si>
    <t>1 = RCLK 时钟使用直接输入模式</t>
  </si>
  <si>
    <t>SEEKUP</t>
  </si>
  <si>
    <t>SEEK</t>
  </si>
  <si>
    <t>SKMODE</t>
  </si>
  <si>
    <t>搜索模式。</t>
  </si>
  <si>
    <t>0 = 在频带上/下限处环绕继续搜索</t>
  </si>
  <si>
    <t>1 = 在频带上/下限处停止搜索</t>
  </si>
  <si>
    <t>CLK_MODE[2:0]</t>
  </si>
  <si>
    <t>000 = 32.768kHz</t>
  </si>
  <si>
    <t>101 = 24MHz</t>
  </si>
  <si>
    <t>010 = 13MHz</t>
  </si>
  <si>
    <t>110 = 26MHz</t>
  </si>
  <si>
    <t>011 = 19.2MHz</t>
  </si>
  <si>
    <t>111 = 38.4MHz</t>
  </si>
  <si>
    <t>RDS_EN</t>
  </si>
  <si>
    <t>如果为1，则启用 RDS/RBDS 功能</t>
  </si>
  <si>
    <t>NEW_METHOD</t>
  </si>
  <si>
    <t>新的解调方法启用，可将接收灵敏度提高约1dB。</t>
  </si>
  <si>
    <t>SOFT_RESET</t>
  </si>
  <si>
    <t>软复位。</t>
  </si>
  <si>
    <t>0 = 不复位；1 = 复位</t>
  </si>
  <si>
    <t>ENABLE</t>
  </si>
  <si>
    <t>上电使能。</t>
  </si>
  <si>
    <t>0 = 禁用；1 = 启用</t>
  </si>
  <si>
    <t>CHAN[9:0]</t>
  </si>
  <si>
    <t>频道选择。</t>
  </si>
  <si>
    <t>BAND = 0</t>
  </si>
  <si>
    <t>频率 = 通道间距 (kHz) x CHAN + 87.0 MHz</t>
  </si>
  <si>
    <t>0x00</t>
  </si>
  <si>
    <t>BAND = 1 或 2</t>
  </si>
  <si>
    <t>频率 = 通道间距 (kHz) x CHAN + 76.0 MHz</t>
  </si>
  <si>
    <t>BAND = 3</t>
  </si>
  <si>
    <t>频率 = 通道间距 (kHz) x CHAN + 65.0 MHz</t>
  </si>
  <si>
    <t>DIRECT MODE</t>
  </si>
  <si>
    <t>直接控制模式，仅在测试时使用。</t>
  </si>
  <si>
    <t>TUNE</t>
  </si>
  <si>
    <t>调谐功能。</t>
  </si>
  <si>
    <r>
      <t xml:space="preserve">调谐操作在 TUNE 位被置高时开始，完成后 </t>
    </r>
    <r>
      <rPr>
        <b/>
        <sz val="11"/>
        <color theme="1"/>
        <rFont val="等线"/>
        <family val="3"/>
        <charset val="134"/>
        <scheme val="minor"/>
      </rPr>
      <t>STC</t>
    </r>
    <r>
      <rPr>
        <sz val="11"/>
        <color theme="1"/>
        <rFont val="等线"/>
        <family val="2"/>
        <scheme val="minor"/>
      </rPr>
      <t xml:space="preserve"> 位会置高。当操作完成时，TUNE 位会自动复位为低电平。</t>
    </r>
  </si>
  <si>
    <t>BAND[1:0]</t>
  </si>
  <si>
    <t>频段选择：</t>
  </si>
  <si>
    <t>00 = 87-108 MHz (美/欧)</t>
  </si>
  <si>
    <t>01 = 76-91 MHz (日本)</t>
  </si>
  <si>
    <t>10 = 76-108 MHz (全球)</t>
  </si>
  <si>
    <r>
      <t>11 = 65-76 MHz (东欧)</t>
    </r>
    <r>
      <rPr>
        <sz val="11"/>
        <color theme="1"/>
        <rFont val="等线"/>
        <family val="2"/>
        <scheme val="minor"/>
      </rPr>
      <t xml:space="preserve"> 或 </t>
    </r>
    <r>
      <rPr>
        <b/>
        <sz val="11"/>
        <color theme="1"/>
        <rFont val="等线"/>
        <family val="3"/>
        <charset val="134"/>
        <scheme val="minor"/>
      </rPr>
      <t>50-65MHz</t>
    </r>
  </si>
  <si>
    <t>00 = 100 kHz</t>
  </si>
  <si>
    <t>01 = 200 kHz</t>
  </si>
  <si>
    <t>10 = 50 kHz</t>
  </si>
  <si>
    <t>11 = 25 kHz</t>
  </si>
  <si>
    <t>04H</t>
  </si>
  <si>
    <t>RSVD</t>
  </si>
  <si>
    <t>保留。</t>
  </si>
  <si>
    <t>STCIEN</t>
  </si>
  <si>
    <t>搜索/调谐完成中断使能。</t>
  </si>
  <si>
    <t>0 = 禁用中断；1 = 启用中断</t>
  </si>
  <si>
    <t>当 STCIEN = 1 时，GPIO2 会在中断发生时产生一个低脉冲。</t>
  </si>
  <si>
    <t>DE</t>
  </si>
  <si>
    <t>去加重。</t>
  </si>
  <si>
    <t>0 = 75 µs；1 = 50 µs</t>
  </si>
  <si>
    <t>SOFTMUTE_EN</t>
  </si>
  <si>
    <t>如果为 1，则启用软静音。</t>
  </si>
  <si>
    <t>AFCD</t>
  </si>
  <si>
    <t>自动频率控制禁用。</t>
  </si>
  <si>
    <t>0 = 启用 AFC；1 = 禁用 AFC</t>
  </si>
  <si>
    <t>03H</t>
    <phoneticPr fontId="2" type="noConversion"/>
  </si>
  <si>
    <t>I2S_ENABLED</t>
  </si>
  <si>
    <t>I2S总线使能。</t>
  </si>
  <si>
    <t>GPIO3[1:0]</t>
  </si>
  <si>
    <t>通用I/O 3。</t>
  </si>
  <si>
    <t>00 = 高阻抗</t>
  </si>
  <si>
    <t>01 = 单声道/立体声指示器(ST)</t>
  </si>
  <si>
    <t>10 = 低电平</t>
  </si>
  <si>
    <t>11 = 高电平</t>
  </si>
  <si>
    <t>GPIO2[1:0]</t>
  </si>
  <si>
    <t>通用I/O 2。</t>
  </si>
  <si>
    <t>01 = 中断(INT)</t>
  </si>
  <si>
    <t>GPIO1[1:0]</t>
  </si>
  <si>
    <t>通用I/O 1。</t>
  </si>
  <si>
    <t>01 = 保留</t>
  </si>
  <si>
    <t>05H</t>
  </si>
  <si>
    <t>INT_MODE</t>
  </si>
  <si>
    <t>中断模式。</t>
  </si>
  <si>
    <t>0 = 生成5ms中断；1 = 中断持续到读取寄存器 0CH 动作发生。</t>
  </si>
  <si>
    <t>搜索SNR阈值，默认值为1000，对应大约32dB SNR。</t>
  </si>
  <si>
    <t>LNA_PORT_SEL[1:0]</t>
  </si>
  <si>
    <t>LNA输入端口选择位：</t>
  </si>
  <si>
    <t>10 = FMIN</t>
  </si>
  <si>
    <t>VOLUME[3:0]</t>
  </si>
  <si>
    <t>DAC增益控制位（音量）。</t>
  </si>
  <si>
    <t>0000 = 最小；1111 = 最大</t>
  </si>
  <si>
    <t>音量调整为对数刻度。</t>
  </si>
  <si>
    <t>当为0000时，输出静音且输出阻抗非常高。</t>
  </si>
  <si>
    <t>06H</t>
  </si>
  <si>
    <t>OPEN_MODE[1:0]</t>
  </si>
  <si>
    <t>开放保留寄存器模式。</t>
  </si>
  <si>
    <t>I2S_MODE</t>
  </si>
  <si>
    <t>I2S模式。</t>
  </si>
  <si>
    <t>0 = 主模式；1 = 从模式</t>
  </si>
  <si>
    <t>SW_LR</t>
  </si>
  <si>
    <t>WS与左右声道的关系：</t>
  </si>
  <si>
    <t>0 = WS -&gt; 0 = 右声道，WS -&gt; 1 = 左声道</t>
  </si>
  <si>
    <t>1 = WS -&gt; 0 = 左声道，WS -&gt; 1 = 右声道</t>
  </si>
  <si>
    <t>SCLK_I_EDGE</t>
  </si>
  <si>
    <t>I2S使能时的时钟设置。</t>
  </si>
  <si>
    <t>0 = 使用正常SCLK内部</t>
  </si>
  <si>
    <t>DATA_SIGNED</t>
  </si>
  <si>
    <t>如果为1，I2S输出为带符号的16位音频数据；</t>
  </si>
  <si>
    <t>如果为0，I2S输出为无符号16位音频数据。</t>
  </si>
  <si>
    <t>WS_I_EDGE</t>
  </si>
  <si>
    <t>如果为0，使用内部WS正常工作；</t>
  </si>
  <si>
    <t>如果为1，反转WS工作。</t>
  </si>
  <si>
    <t>I2S_SW_CNT[4:0]</t>
  </si>
  <si>
    <t>仅在主模式下有效。</t>
  </si>
  <si>
    <t>4'b1000: WS_STEP = 48k;</t>
  </si>
  <si>
    <t>4'b0111: WS_STEP = 44.1k;</t>
  </si>
  <si>
    <t>4'b0110: WS_STEP = 32k;</t>
  </si>
  <si>
    <t>4'b0101: WS_STEP = 24k;</t>
  </si>
  <si>
    <t>4'b0100: WS_STEP = 22.05k;</t>
  </si>
  <si>
    <t>4'b0011: WS_STEP = 16k;</t>
  </si>
  <si>
    <t>4'b0010: WS_STEP = 12k;</t>
  </si>
  <si>
    <t>4'b0001: WS_STEP = 11.025k;</t>
  </si>
  <si>
    <t>4'b0000: WS_STEP = 8k。</t>
  </si>
  <si>
    <t>SW_O_EDGE</t>
  </si>
  <si>
    <t>如果为1，当为主模式时反转WS输出。</t>
  </si>
  <si>
    <t>SCLK_O_EDGE</t>
  </si>
  <si>
    <t>如果为1，当为主模式时反转SCLK输出。</t>
  </si>
  <si>
    <t>L_DELAY</t>
  </si>
  <si>
    <t>如果为1，为L通道数据延迟1个时钟周期。</t>
  </si>
  <si>
    <t>R_DELAY</t>
  </si>
  <si>
    <t>如果为1，为R通道数据延迟1个时钟周期。</t>
  </si>
  <si>
    <t>07H</t>
  </si>
  <si>
    <t>TH_SOFRBLEND[5:0]</t>
  </si>
  <si>
    <t>噪声软混合设置的阈值，单位为2dB。</t>
  </si>
  <si>
    <t>65M_50M_MODE</t>
  </si>
  <si>
    <t>当BAND[1:0] = 2'b11时有效 (来自寄存器03H bit&lt;3:2&gt;)：</t>
  </si>
  <si>
    <t>1 = 65-76 MHz；0 = 50-76 MHz。</t>
  </si>
  <si>
    <t>SEEK_TH_OLD</t>
  </si>
  <si>
    <t>旧搜索模式的搜索阈值，仅当Seek_Mode=001时有效。</t>
  </si>
  <si>
    <t>SOFTBLEND_EN</t>
  </si>
  <si>
    <t>如果为1，启用软混合功能。</t>
  </si>
  <si>
    <t>FREQ_MODE</t>
  </si>
  <si>
    <t>如果为1，则频率设定发生变化。</t>
  </si>
  <si>
    <t>频率 = 76000 (或 87000) kHz + freq_direct (08H)。</t>
  </si>
  <si>
    <t>RDS就绪。</t>
  </si>
  <si>
    <t>0 = 无RDS/RBDS数据就绪（默认）；1 = 新的RDS/RBDS组已就绪。</t>
  </si>
  <si>
    <t>搜索/调谐完成标志。</t>
  </si>
  <si>
    <t>0 = 未完成；1 = 已完成。</t>
  </si>
  <si>
    <t>当搜索或调谐操作完成时，搜索/调谐完成标志会置位。</t>
  </si>
  <si>
    <t>SF</t>
  </si>
  <si>
    <t>搜索失败标志。</t>
  </si>
  <si>
    <t>0 = 搜索成功；1 = 搜索失败。</t>
  </si>
  <si>
    <t>搜索失败标志在RSSI低于SEEKTH[5:0]时会被置位。</t>
  </si>
  <si>
    <t>RDSS</t>
  </si>
  <si>
    <t>RDS同步标志。</t>
  </si>
  <si>
    <t>0 = RDS解码器未同步（默认）。</t>
  </si>
  <si>
    <t>RDS解码器同步状态。</t>
  </si>
  <si>
    <t>1 = RDS解码器已同步</t>
  </si>
  <si>
    <t>仅在RDS Verbose模式下可用。</t>
  </si>
  <si>
    <t>BLK_E</t>
  </si>
  <si>
    <t>当RDS启用时：</t>
  </si>
  <si>
    <t>1 = 找到E块；0 = 未找到E块。</t>
  </si>
  <si>
    <t>ST</t>
  </si>
  <si>
    <t>立体声指示器。</t>
  </si>
  <si>
    <t>0 = 单声道；1 = 立体声。</t>
  </si>
  <si>
    <t>当GPIO3[1:0]设置为01时，可在GPIO3引脚上获得立体声指示。</t>
  </si>
  <si>
    <t>READCHAN[9:0]</t>
  </si>
  <si>
    <t>当前频道读取。</t>
  </si>
  <si>
    <t>8’h00</t>
  </si>
  <si>
    <t>频率 = 通道间距 (kHz) × READCHAN[9:0] + 87.0 MHz</t>
  </si>
  <si>
    <t>频率 = 通道间距 (kHz) × READCHAN[9:0] + 76.0 MHz</t>
  </si>
  <si>
    <t>频率 = 通道间距 (kHz) × READCHAN[9:0] + 65.0 MHz</t>
  </si>
  <si>
    <t>READCHAN[9:0]在调谐或搜索操作后更新。</t>
  </si>
  <si>
    <t>0BH</t>
  </si>
  <si>
    <t>RSSI（接收信号强度指示）。</t>
  </si>
  <si>
    <t>000000 = 最小；111111 = 最大</t>
  </si>
  <si>
    <t>RSSI是对数刻度。</t>
  </si>
  <si>
    <t>1 = 当前频道是一个电台；0 = 当前频道不是一个电台。</t>
  </si>
  <si>
    <t>FM_READY</t>
  </si>
  <si>
    <t>1 = 就绪；0 = 未就绪。</t>
  </si>
  <si>
    <t>reserved</t>
  </si>
  <si>
    <t>ABCD_E</t>
  </si>
  <si>
    <t>1 = 0CH, 0DH, 0EH, 0FH的块ID为E；0 = 0CH, 0DH, 0EH, 0FH的块ID为A、B、C、D。</t>
  </si>
  <si>
    <t>BLERA[1:0]</t>
  </si>
  <si>
    <t>RDS数据块A的错误级别，或RBDS模式下的块E（当ABCD_E标志为1时）。</t>
  </si>
  <si>
    <t>BLERB[1:0]</t>
  </si>
  <si>
    <t>RDS数据块B的错误级别，或RBDS模式下的块B（类似于BLERA[1:0]）。</t>
  </si>
  <si>
    <t>0CH</t>
  </si>
  <si>
    <t>&lt;15:0&gt;</t>
  </si>
  <si>
    <t>RDSA[15:0]</t>
  </si>
  <si>
    <t>BLOCK A (在RDS模式下) 或 BLOCK E (在RBDS模式下，当ABCD_E标志为1时)</t>
  </si>
  <si>
    <t>16'h5803</t>
  </si>
  <si>
    <t>0DH</t>
  </si>
  <si>
    <t>RDSB[15:0]</t>
  </si>
  <si>
    <t>BLOCK B (在RDS模式下) 或 BLOCK E (在RBDS模式下，当ABCD_E标志为1时)</t>
  </si>
  <si>
    <t>16'h5804</t>
  </si>
  <si>
    <t>0EH</t>
  </si>
  <si>
    <t>RDSC[15:0]</t>
  </si>
  <si>
    <t>BLOCK C (在RDS模式下) 或 BLOCK E (在RBDS模式下，当ABCD_E标志为1时)</t>
  </si>
  <si>
    <t>16'h5808</t>
  </si>
  <si>
    <t>0FH</t>
  </si>
  <si>
    <t>RDSD[15:0]</t>
  </si>
  <si>
    <t>设定值</t>
    <phoneticPr fontId="2" type="noConversion"/>
  </si>
  <si>
    <t>输出结果</t>
    <phoneticPr fontId="2" type="noConversion"/>
  </si>
  <si>
    <t>DHIZ</t>
    <phoneticPr fontId="2" type="noConversion"/>
  </si>
  <si>
    <t>音频输出高阻抗禁用。 
0 = 高阻抗；1 = 正常操作</t>
    <phoneticPr fontId="2" type="noConversion"/>
  </si>
  <si>
    <t>静音禁用。
0 = 静音；1 = 正常操作</t>
    <phoneticPr fontId="2" type="noConversion"/>
  </si>
  <si>
    <t>单声道选择。
0 = 立体声；1 = 强制单声道</t>
    <phoneticPr fontId="2" type="noConversion"/>
  </si>
  <si>
    <t>低音增强。
0 = 禁用；1 = 启用低音增强</t>
    <phoneticPr fontId="2" type="noConversion"/>
  </si>
  <si>
    <t>0 = RCLK 时钟始终供电
1 = RCLK 时钟在FM工作时可能不始终供电 （当值为1时，RDA5807FP不能直接支持 -20℃ ~ 70℃ 的温度范围，仅支持±20℃以内的温度波动点）。</t>
    <phoneticPr fontId="2" type="noConversion"/>
  </si>
  <si>
    <t>搜索方向向上。
0 = 搜索向下；1 = 搜索向上</t>
    <phoneticPr fontId="2" type="noConversion"/>
  </si>
  <si>
    <t>搜索功能。
0 = 禁用停止搜索；1 = 启用搜索
搜索从SEEKUP 指定的方向开始，直到找到一个频道或搜索完成整个频带为止。当搜索完成后，SEEK 位会被清零，且 STC 位会被设置为高电平。</t>
    <phoneticPr fontId="2" type="noConversion"/>
  </si>
  <si>
    <t xml:space="preserve">时钟模式选择：
</t>
    <phoneticPr fontId="2" type="noConversion"/>
  </si>
  <si>
    <t>备注</t>
    <phoneticPr fontId="2" type="noConversion"/>
  </si>
  <si>
    <t>高八位</t>
    <phoneticPr fontId="2" type="noConversion"/>
  </si>
  <si>
    <t>低八位</t>
    <phoneticPr fontId="2" type="noConversion"/>
  </si>
  <si>
    <t>二进制</t>
    <phoneticPr fontId="2" type="noConversion"/>
  </si>
  <si>
    <t>十六进制</t>
    <phoneticPr fontId="2" type="noConversion"/>
  </si>
  <si>
    <t>BLOCK D (在RDS模式下) 或 BLOCK E (在RBDS模式下，当ABCD_E标志为1时)</t>
    <phoneticPr fontId="2" type="noConversion"/>
  </si>
  <si>
    <t>02H</t>
    <phoneticPr fontId="2" type="noConversion"/>
  </si>
  <si>
    <t>03H</t>
    <phoneticPr fontId="2" type="noConversion"/>
  </si>
  <si>
    <t>P</t>
    <phoneticPr fontId="2" type="noConversion"/>
  </si>
  <si>
    <t>频率</t>
    <phoneticPr fontId="2" type="noConversion"/>
  </si>
  <si>
    <t>位数</t>
    <phoneticPr fontId="2" type="noConversion"/>
  </si>
  <si>
    <t>第15位</t>
    <phoneticPr fontId="2" type="noConversion"/>
  </si>
  <si>
    <t>第5位</t>
  </si>
  <si>
    <t>第14位</t>
    <phoneticPr fontId="2" type="noConversion"/>
  </si>
  <si>
    <t>第13位</t>
  </si>
  <si>
    <t>第12位</t>
  </si>
  <si>
    <t>第11位</t>
  </si>
  <si>
    <t>第10位</t>
  </si>
  <si>
    <t>第9位</t>
  </si>
  <si>
    <t>第8位</t>
  </si>
  <si>
    <t>第7位</t>
  </si>
  <si>
    <t>第6位</t>
  </si>
  <si>
    <t>第4位</t>
  </si>
  <si>
    <t>第3位</t>
  </si>
  <si>
    <t>第2位</t>
  </si>
  <si>
    <t>第1位</t>
  </si>
  <si>
    <t>第0位</t>
  </si>
  <si>
    <t>CHAN 在搜索完成后会更新。</t>
    <phoneticPr fontId="2" type="noConversion"/>
  </si>
  <si>
    <t>第7位</t>
    <phoneticPr fontId="2" type="noConversion"/>
  </si>
  <si>
    <t>04H</t>
    <phoneticPr fontId="2" type="noConversion"/>
  </si>
  <si>
    <t>05H</t>
    <phoneticPr fontId="2" type="noConversion"/>
  </si>
  <si>
    <t>SEEKTH[3:0]</t>
    <phoneticPr fontId="2" type="noConversion"/>
  </si>
  <si>
    <t>06H</t>
    <phoneticPr fontId="2" type="noConversion"/>
  </si>
  <si>
    <t>07H</t>
    <phoneticPr fontId="2" type="noConversion"/>
  </si>
  <si>
    <t>0AH</t>
    <phoneticPr fontId="2" type="noConversion"/>
  </si>
  <si>
    <t>RDSR</t>
    <phoneticPr fontId="2" type="noConversion"/>
  </si>
  <si>
    <t>RCLK NON-CALIBRATE MODE</t>
    <phoneticPr fontId="2" type="noConversion"/>
  </si>
  <si>
    <t>RCLK DIRECT INPUT MODE</t>
    <phoneticPr fontId="2" type="noConversion"/>
  </si>
  <si>
    <t>0BH</t>
    <phoneticPr fontId="2" type="noConversion"/>
  </si>
  <si>
    <t>频率计算</t>
    <phoneticPr fontId="2" type="noConversion"/>
  </si>
  <si>
    <t>频率模式设定</t>
    <phoneticPr fontId="2" type="noConversion"/>
  </si>
  <si>
    <t>RDS/RBDS 启用。</t>
    <phoneticPr fontId="2" type="noConversion"/>
  </si>
  <si>
    <t>00 = 无需校正的错误；01 = 1-2个需要校正的错误；10 = 3-5个需要校正的错误；11 = 超过6个错误，或校验错误无法校正。</t>
    <phoneticPr fontId="2" type="noConversion"/>
  </si>
  <si>
    <t>3F</t>
    <phoneticPr fontId="2" type="noConversion"/>
  </si>
  <si>
    <t>STC</t>
    <phoneticPr fontId="2" type="noConversion"/>
  </si>
  <si>
    <t>RSSI[6:0]</t>
    <phoneticPr fontId="2" type="noConversion"/>
  </si>
  <si>
    <t>FM_TRUE</t>
    <phoneticPr fontId="2" type="noConversion"/>
  </si>
  <si>
    <t>001 = 12MHz</t>
    <phoneticPr fontId="2" type="noConversion"/>
  </si>
  <si>
    <t>11 = 打开后续寄存器写入功能；其他值 = 仅打开寄存器读取功能。</t>
    <phoneticPr fontId="2" type="noConversion"/>
  </si>
  <si>
    <t>频道间距选择：</t>
    <phoneticPr fontId="2" type="noConversion"/>
  </si>
  <si>
    <t>SPACE[1:0]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</si>
</sst>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b/>
      <sz val="11"/>
      <color rgb="FF9C57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2" borderId="0" xfId="1" applyAlignment="1">
      <alignment vertical="center" wrapText="1"/>
    </xf>
    <xf numFmtId="0" fontId="1" fillId="2" borderId="0" xfId="1" applyAlignment="1"/>
    <xf numFmtId="0" fontId="1" fillId="2" borderId="0" xfId="1" applyAlignment="1">
      <alignment horizontal="center" vertical="center" wrapText="1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 vertical="center" wrapText="1"/>
    </xf>
    <xf numFmtId="20" fontId="1" fillId="2" borderId="0" xfId="1" applyNumberForma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2" applyAlignment="1"/>
    <xf numFmtId="0" fontId="5" fillId="2" borderId="0" xfId="1" applyFont="1" applyAlignment="1">
      <alignment horizontal="center" vertical="center"/>
    </xf>
    <xf numFmtId="0" fontId="4" fillId="3" borderId="0" xfId="2" applyAlignment="1">
      <alignment horizontal="center" vertical="center"/>
    </xf>
  </cellXfs>
  <cellStyles count="3">
    <cellStyle name="差" xfId="2" builtinId="27"/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5"/>
  <sheetViews>
    <sheetView tabSelected="1" zoomScaleNormal="100" workbookViewId="0">
      <selection activeCell="M10" sqref="M10"/>
    </sheetView>
  </sheetViews>
  <sheetFormatPr defaultRowHeight="14" x14ac:dyDescent="0.3"/>
  <cols>
    <col min="1" max="1" width="8.6640625" customWidth="1"/>
    <col min="2" max="2" width="8.6640625" style="9" customWidth="1"/>
    <col min="3" max="3" width="14.33203125" style="9" customWidth="1"/>
    <col min="4" max="4" width="24.08203125" customWidth="1"/>
    <col min="5" max="5" width="8.6640625" style="9"/>
    <col min="7" max="7" width="8.6640625" style="13"/>
    <col min="8" max="8" width="8.6640625" style="12"/>
    <col min="9" max="11" width="8.6640625" style="13"/>
  </cols>
  <sheetData>
    <row r="1" spans="1:1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224</v>
      </c>
      <c r="G1" s="12" t="s">
        <v>213</v>
      </c>
      <c r="H1" s="12" t="s">
        <v>234</v>
      </c>
      <c r="J1" s="12" t="s">
        <v>214</v>
      </c>
      <c r="K1" s="12"/>
    </row>
    <row r="2" spans="1:11" x14ac:dyDescent="0.3">
      <c r="A2" s="2" t="s">
        <v>5</v>
      </c>
      <c r="B2" s="10">
        <v>0.63055555555555554</v>
      </c>
      <c r="C2" s="1" t="s">
        <v>6</v>
      </c>
      <c r="D2" s="2" t="s">
        <v>7</v>
      </c>
      <c r="E2" s="1" t="s">
        <v>8</v>
      </c>
    </row>
    <row r="3" spans="1:11" s="8" customFormat="1" ht="28" customHeight="1" x14ac:dyDescent="0.3">
      <c r="A3" s="5" t="s">
        <v>9</v>
      </c>
      <c r="B3" s="7">
        <v>15</v>
      </c>
      <c r="C3" s="7" t="s">
        <v>215</v>
      </c>
      <c r="D3" s="7" t="s">
        <v>216</v>
      </c>
      <c r="E3" s="7">
        <v>0</v>
      </c>
      <c r="G3" s="8">
        <v>1</v>
      </c>
      <c r="H3" s="15" t="s">
        <v>235</v>
      </c>
      <c r="I3" s="16" t="s">
        <v>230</v>
      </c>
      <c r="J3" s="16" t="s">
        <v>225</v>
      </c>
      <c r="K3" s="16" t="s">
        <v>226</v>
      </c>
    </row>
    <row r="4" spans="1:11" ht="28" x14ac:dyDescent="0.3">
      <c r="A4" s="2"/>
      <c r="B4" s="1">
        <v>14</v>
      </c>
      <c r="C4" s="1" t="s">
        <v>10</v>
      </c>
      <c r="D4" s="2" t="s">
        <v>217</v>
      </c>
      <c r="E4" s="1">
        <v>0</v>
      </c>
      <c r="G4" s="13">
        <v>1</v>
      </c>
      <c r="H4" s="12" t="s">
        <v>237</v>
      </c>
      <c r="I4" s="13" t="s">
        <v>227</v>
      </c>
      <c r="J4" s="13" t="str">
        <f>_xlfn.TEXTJOIN("", TRUE, G3,G4,G5,G6,G7,G8,G9,G10)</f>
        <v>11010000</v>
      </c>
      <c r="K4" s="13" t="str">
        <f>_xlfn.TEXTJOIN("", TRUE, G11,G14,G15,G16,G22,G24,G26,G28)</f>
        <v>00000001</v>
      </c>
    </row>
    <row r="5" spans="1:11" ht="28" x14ac:dyDescent="0.3">
      <c r="A5" s="2"/>
      <c r="B5" s="1">
        <v>13</v>
      </c>
      <c r="C5" s="1" t="s">
        <v>11</v>
      </c>
      <c r="D5" s="2" t="s">
        <v>218</v>
      </c>
      <c r="E5" s="1">
        <v>0</v>
      </c>
      <c r="G5" s="13">
        <v>0</v>
      </c>
      <c r="H5" s="12" t="s">
        <v>238</v>
      </c>
      <c r="I5" s="13" t="s">
        <v>228</v>
      </c>
      <c r="J5" s="13" t="str">
        <f>BIN2HEX(J4)</f>
        <v>D0</v>
      </c>
      <c r="K5" s="13" t="str">
        <f>BIN2HEX(K4)</f>
        <v>1</v>
      </c>
    </row>
    <row r="6" spans="1:11" ht="28" x14ac:dyDescent="0.3">
      <c r="A6" s="2"/>
      <c r="B6" s="1">
        <v>12</v>
      </c>
      <c r="C6" s="1" t="s">
        <v>12</v>
      </c>
      <c r="D6" s="2" t="s">
        <v>219</v>
      </c>
      <c r="E6" s="1">
        <v>0</v>
      </c>
      <c r="G6" s="13">
        <v>1</v>
      </c>
      <c r="H6" s="12" t="s">
        <v>239</v>
      </c>
    </row>
    <row r="7" spans="1:11" ht="98" x14ac:dyDescent="0.3">
      <c r="A7" s="2"/>
      <c r="B7" s="1">
        <v>11</v>
      </c>
      <c r="C7" s="1" t="s">
        <v>260</v>
      </c>
      <c r="D7" s="4" t="s">
        <v>220</v>
      </c>
      <c r="E7" s="3">
        <v>0</v>
      </c>
      <c r="G7" s="13">
        <v>0</v>
      </c>
      <c r="H7" s="12" t="s">
        <v>240</v>
      </c>
    </row>
    <row r="8" spans="1:11" ht="28" x14ac:dyDescent="0.3">
      <c r="A8" s="2"/>
      <c r="B8" s="1">
        <v>10</v>
      </c>
      <c r="C8" s="1" t="s">
        <v>261</v>
      </c>
      <c r="D8" s="4" t="s">
        <v>13</v>
      </c>
      <c r="E8" s="3">
        <v>0</v>
      </c>
      <c r="G8" s="13">
        <v>0</v>
      </c>
      <c r="H8" s="12" t="s">
        <v>241</v>
      </c>
    </row>
    <row r="9" spans="1:11" ht="28" x14ac:dyDescent="0.3">
      <c r="A9" s="2"/>
      <c r="B9" s="1">
        <v>9</v>
      </c>
      <c r="C9" s="1" t="s">
        <v>14</v>
      </c>
      <c r="D9" s="2" t="s">
        <v>221</v>
      </c>
      <c r="E9" s="1">
        <v>0</v>
      </c>
      <c r="G9" s="13">
        <v>0</v>
      </c>
      <c r="H9" s="12" t="s">
        <v>242</v>
      </c>
    </row>
    <row r="10" spans="1:11" ht="126" x14ac:dyDescent="0.3">
      <c r="A10" s="2"/>
      <c r="B10" s="1">
        <v>8</v>
      </c>
      <c r="C10" s="1" t="s">
        <v>15</v>
      </c>
      <c r="D10" s="2" t="s">
        <v>222</v>
      </c>
      <c r="E10" s="1">
        <v>0</v>
      </c>
      <c r="G10" s="13">
        <v>0</v>
      </c>
      <c r="H10" s="12" t="s">
        <v>243</v>
      </c>
    </row>
    <row r="11" spans="1:11" x14ac:dyDescent="0.3">
      <c r="A11" s="2"/>
      <c r="B11" s="1">
        <v>7</v>
      </c>
      <c r="C11" s="1" t="s">
        <v>16</v>
      </c>
      <c r="D11" s="2" t="s">
        <v>17</v>
      </c>
      <c r="E11" s="1"/>
      <c r="G11" s="13">
        <v>0</v>
      </c>
      <c r="H11" s="12" t="s">
        <v>244</v>
      </c>
    </row>
    <row r="12" spans="1:11" ht="28" x14ac:dyDescent="0.3">
      <c r="A12" s="2"/>
      <c r="B12" s="1"/>
      <c r="C12" s="1"/>
      <c r="D12" s="4" t="s">
        <v>18</v>
      </c>
      <c r="E12" s="3">
        <v>0</v>
      </c>
    </row>
    <row r="13" spans="1:11" ht="28" x14ac:dyDescent="0.3">
      <c r="A13" s="2"/>
      <c r="B13" s="1"/>
      <c r="C13" s="1"/>
      <c r="D13" s="4" t="s">
        <v>19</v>
      </c>
      <c r="E13" s="1"/>
    </row>
    <row r="14" spans="1:11" ht="28" x14ac:dyDescent="0.3">
      <c r="A14" s="2"/>
      <c r="B14" s="10">
        <v>0.25277777777777777</v>
      </c>
      <c r="C14" s="1" t="s">
        <v>20</v>
      </c>
      <c r="D14" s="2" t="s">
        <v>223</v>
      </c>
      <c r="E14" s="3">
        <v>0</v>
      </c>
      <c r="G14" s="13">
        <v>0</v>
      </c>
      <c r="H14" s="12" t="s">
        <v>245</v>
      </c>
    </row>
    <row r="15" spans="1:11" x14ac:dyDescent="0.3">
      <c r="A15" s="2"/>
      <c r="B15" s="1"/>
      <c r="C15" s="1"/>
      <c r="D15" s="4" t="s">
        <v>21</v>
      </c>
      <c r="E15" s="1"/>
      <c r="G15" s="13">
        <v>0</v>
      </c>
      <c r="H15" s="12" t="s">
        <v>236</v>
      </c>
    </row>
    <row r="16" spans="1:11" x14ac:dyDescent="0.3">
      <c r="A16" s="2"/>
      <c r="B16" s="1"/>
      <c r="C16" s="1"/>
      <c r="D16" s="4" t="s">
        <v>271</v>
      </c>
      <c r="E16" s="1"/>
      <c r="G16" s="13">
        <v>0</v>
      </c>
      <c r="H16" s="12" t="s">
        <v>246</v>
      </c>
    </row>
    <row r="17" spans="1:13" x14ac:dyDescent="0.3">
      <c r="A17" s="2"/>
      <c r="B17" s="1"/>
      <c r="C17" s="1"/>
      <c r="D17" s="4" t="s">
        <v>22</v>
      </c>
      <c r="E17" s="1"/>
    </row>
    <row r="18" spans="1:13" x14ac:dyDescent="0.3">
      <c r="A18" s="2"/>
      <c r="B18" s="1"/>
      <c r="C18" s="1"/>
      <c r="D18" s="4" t="s">
        <v>23</v>
      </c>
      <c r="E18" s="1"/>
    </row>
    <row r="19" spans="1:13" x14ac:dyDescent="0.3">
      <c r="A19" s="2"/>
      <c r="B19" s="1"/>
      <c r="C19" s="1"/>
      <c r="D19" s="4" t="s">
        <v>24</v>
      </c>
      <c r="E19" s="1"/>
    </row>
    <row r="20" spans="1:13" x14ac:dyDescent="0.3">
      <c r="A20" s="2"/>
      <c r="B20" s="1"/>
      <c r="C20" s="1"/>
      <c r="D20" s="4" t="s">
        <v>25</v>
      </c>
      <c r="E20" s="1"/>
    </row>
    <row r="21" spans="1:13" x14ac:dyDescent="0.3">
      <c r="A21" s="2"/>
      <c r="B21" s="1"/>
      <c r="C21" s="1"/>
      <c r="D21" s="4" t="s">
        <v>26</v>
      </c>
      <c r="E21" s="1"/>
    </row>
    <row r="22" spans="1:13" x14ac:dyDescent="0.3">
      <c r="A22" s="2"/>
      <c r="B22" s="1">
        <v>3</v>
      </c>
      <c r="C22" s="1" t="s">
        <v>27</v>
      </c>
      <c r="D22" s="2" t="s">
        <v>265</v>
      </c>
      <c r="E22" s="3">
        <v>1</v>
      </c>
      <c r="G22" s="13">
        <v>0</v>
      </c>
      <c r="H22" s="12" t="s">
        <v>247</v>
      </c>
    </row>
    <row r="23" spans="1:13" ht="28" x14ac:dyDescent="0.3">
      <c r="A23" s="2"/>
      <c r="B23" s="1"/>
      <c r="C23" s="1"/>
      <c r="D23" s="4" t="s">
        <v>28</v>
      </c>
    </row>
    <row r="24" spans="1:13" ht="28" x14ac:dyDescent="0.3">
      <c r="A24" s="2"/>
      <c r="B24" s="1">
        <v>2</v>
      </c>
      <c r="C24" s="1" t="s">
        <v>29</v>
      </c>
      <c r="D24" s="2" t="s">
        <v>30</v>
      </c>
      <c r="E24" s="3">
        <v>0</v>
      </c>
      <c r="G24" s="13">
        <v>0</v>
      </c>
      <c r="H24" s="12" t="s">
        <v>248</v>
      </c>
    </row>
    <row r="25" spans="1:13" x14ac:dyDescent="0.3">
      <c r="A25" s="2"/>
      <c r="B25" s="1">
        <v>1</v>
      </c>
      <c r="C25" s="1" t="s">
        <v>31</v>
      </c>
      <c r="D25" s="2" t="s">
        <v>32</v>
      </c>
      <c r="E25" s="1"/>
    </row>
    <row r="26" spans="1:13" x14ac:dyDescent="0.3">
      <c r="A26" s="2"/>
      <c r="B26" s="1"/>
      <c r="C26" s="1"/>
      <c r="D26" s="4" t="s">
        <v>33</v>
      </c>
      <c r="E26" s="3">
        <v>0</v>
      </c>
      <c r="G26" s="13">
        <v>0</v>
      </c>
      <c r="H26" s="12" t="s">
        <v>249</v>
      </c>
    </row>
    <row r="27" spans="1:13" x14ac:dyDescent="0.3">
      <c r="A27" s="4"/>
      <c r="B27" s="3">
        <v>0</v>
      </c>
      <c r="C27" s="1" t="s">
        <v>34</v>
      </c>
      <c r="D27" s="2" t="s">
        <v>35</v>
      </c>
      <c r="E27" s="1"/>
    </row>
    <row r="28" spans="1:13" x14ac:dyDescent="0.3">
      <c r="B28"/>
      <c r="C28"/>
      <c r="D28" t="s">
        <v>36</v>
      </c>
      <c r="E28" s="9">
        <v>0</v>
      </c>
      <c r="G28" s="9">
        <v>1</v>
      </c>
      <c r="H28" s="12" t="s">
        <v>250</v>
      </c>
    </row>
    <row r="29" spans="1:13" s="6" customFormat="1" x14ac:dyDescent="0.3">
      <c r="A29" s="5" t="s">
        <v>76</v>
      </c>
      <c r="B29" s="11">
        <v>0.62916666666666665</v>
      </c>
      <c r="C29" s="7" t="s">
        <v>37</v>
      </c>
      <c r="D29" s="5" t="s">
        <v>38</v>
      </c>
      <c r="E29" s="7"/>
      <c r="G29" s="8">
        <v>0</v>
      </c>
      <c r="H29" s="6" t="s">
        <v>235</v>
      </c>
      <c r="I29" s="16" t="s">
        <v>231</v>
      </c>
      <c r="J29" s="16" t="s">
        <v>225</v>
      </c>
      <c r="K29" s="16" t="s">
        <v>226</v>
      </c>
      <c r="M29" s="14"/>
    </row>
    <row r="30" spans="1:13" x14ac:dyDescent="0.3">
      <c r="A30" s="2"/>
      <c r="B30" s="1"/>
      <c r="C30" s="1"/>
      <c r="D30" s="4" t="s">
        <v>39</v>
      </c>
      <c r="E30" s="1"/>
      <c r="G30" s="13">
        <v>0</v>
      </c>
      <c r="H30" t="s">
        <v>237</v>
      </c>
      <c r="I30" s="13" t="s">
        <v>227</v>
      </c>
      <c r="J30" s="13" t="str">
        <f>_xlfn.TEXTJOIN("", TRUE,G29:G36)</f>
        <v>00000000</v>
      </c>
      <c r="K30" s="13" t="str">
        <f>_xlfn.TEXTJOIN("", TRUE, G37,G38,G39,G40,G43,G44,G48,G49)</f>
        <v>00001001</v>
      </c>
      <c r="M30" t="s">
        <v>233</v>
      </c>
    </row>
    <row r="31" spans="1:13" ht="28" x14ac:dyDescent="0.3">
      <c r="A31" s="2"/>
      <c r="B31" s="1"/>
      <c r="C31" s="1"/>
      <c r="D31" s="4" t="s">
        <v>40</v>
      </c>
      <c r="E31" s="3" t="s">
        <v>41</v>
      </c>
      <c r="G31" s="13">
        <v>0</v>
      </c>
      <c r="H31" t="s">
        <v>238</v>
      </c>
      <c r="I31" s="13" t="s">
        <v>228</v>
      </c>
      <c r="J31" s="13" t="str">
        <f>BIN2HEX(J30)</f>
        <v>0</v>
      </c>
      <c r="K31" s="13" t="str">
        <f>BIN2HEX(K30)</f>
        <v>9</v>
      </c>
      <c r="M31" t="s">
        <v>232</v>
      </c>
    </row>
    <row r="32" spans="1:13" x14ac:dyDescent="0.3">
      <c r="A32" s="2"/>
      <c r="B32" s="1"/>
      <c r="C32" s="1"/>
      <c r="D32" s="4" t="s">
        <v>42</v>
      </c>
      <c r="E32" s="1"/>
      <c r="G32" s="13">
        <v>0</v>
      </c>
      <c r="H32" t="s">
        <v>239</v>
      </c>
    </row>
    <row r="33" spans="1:8" ht="28" x14ac:dyDescent="0.3">
      <c r="A33" s="2"/>
      <c r="B33" s="1"/>
      <c r="C33" s="1"/>
      <c r="D33" s="4" t="s">
        <v>43</v>
      </c>
      <c r="E33" s="1"/>
      <c r="G33" s="13">
        <v>0</v>
      </c>
      <c r="H33" t="s">
        <v>240</v>
      </c>
    </row>
    <row r="34" spans="1:8" x14ac:dyDescent="0.3">
      <c r="A34" s="2"/>
      <c r="B34" s="1"/>
      <c r="C34" s="1"/>
      <c r="D34" s="4" t="s">
        <v>44</v>
      </c>
      <c r="E34" s="1"/>
      <c r="G34" s="13">
        <v>0</v>
      </c>
      <c r="H34" t="s">
        <v>241</v>
      </c>
    </row>
    <row r="35" spans="1:8" ht="28" x14ac:dyDescent="0.3">
      <c r="A35" s="2"/>
      <c r="B35" s="1"/>
      <c r="C35" s="1"/>
      <c r="D35" s="4" t="s">
        <v>45</v>
      </c>
      <c r="E35" s="1"/>
      <c r="G35" s="13">
        <v>0</v>
      </c>
      <c r="H35" t="s">
        <v>242</v>
      </c>
    </row>
    <row r="36" spans="1:8" ht="28" x14ac:dyDescent="0.3">
      <c r="A36" s="2"/>
      <c r="B36" s="1"/>
      <c r="C36" s="1"/>
      <c r="D36" s="4" t="s">
        <v>251</v>
      </c>
      <c r="E36" s="1"/>
      <c r="G36" s="13">
        <v>0</v>
      </c>
      <c r="H36" t="s">
        <v>243</v>
      </c>
    </row>
    <row r="37" spans="1:8" x14ac:dyDescent="0.3">
      <c r="A37" s="2"/>
      <c r="B37" s="1"/>
      <c r="C37" s="1"/>
      <c r="D37" s="4"/>
      <c r="E37" s="1"/>
      <c r="G37" s="13">
        <v>0</v>
      </c>
      <c r="H37" t="s">
        <v>252</v>
      </c>
    </row>
    <row r="38" spans="1:8" x14ac:dyDescent="0.3">
      <c r="A38" s="2"/>
      <c r="B38" s="1"/>
      <c r="C38" s="1"/>
      <c r="D38" s="2"/>
      <c r="E38" s="1"/>
      <c r="G38" s="13">
        <v>0</v>
      </c>
      <c r="H38" t="s">
        <v>245</v>
      </c>
    </row>
    <row r="39" spans="1:8" ht="28" x14ac:dyDescent="0.3">
      <c r="A39" s="2"/>
      <c r="B39" s="1">
        <v>5</v>
      </c>
      <c r="C39" s="1" t="s">
        <v>46</v>
      </c>
      <c r="D39" s="2" t="s">
        <v>47</v>
      </c>
      <c r="E39" s="3">
        <v>0</v>
      </c>
      <c r="G39" s="13">
        <v>0</v>
      </c>
      <c r="H39" t="s">
        <v>236</v>
      </c>
    </row>
    <row r="40" spans="1:8" x14ac:dyDescent="0.3">
      <c r="A40" s="2"/>
      <c r="B40" s="1">
        <v>4</v>
      </c>
      <c r="C40" s="1" t="s">
        <v>48</v>
      </c>
      <c r="D40" s="2" t="s">
        <v>49</v>
      </c>
      <c r="E40" s="1"/>
      <c r="G40" s="13">
        <v>0</v>
      </c>
      <c r="H40" t="s">
        <v>246</v>
      </c>
    </row>
    <row r="41" spans="1:8" x14ac:dyDescent="0.3">
      <c r="A41" s="2"/>
      <c r="B41" s="1"/>
      <c r="C41" s="1"/>
      <c r="D41" s="4" t="s">
        <v>36</v>
      </c>
      <c r="E41" s="3">
        <v>0</v>
      </c>
    </row>
    <row r="42" spans="1:8" ht="56" x14ac:dyDescent="0.3">
      <c r="A42" s="2"/>
      <c r="B42" s="1"/>
      <c r="C42" s="1"/>
      <c r="D42" s="2" t="s">
        <v>50</v>
      </c>
      <c r="E42" s="1"/>
    </row>
    <row r="43" spans="1:8" x14ac:dyDescent="0.3">
      <c r="A43" s="2"/>
      <c r="B43" s="10">
        <v>0.12638888888888888</v>
      </c>
      <c r="C43" s="1" t="s">
        <v>51</v>
      </c>
      <c r="D43" s="2" t="s">
        <v>52</v>
      </c>
      <c r="E43" s="3">
        <v>0</v>
      </c>
      <c r="G43" s="13">
        <v>1</v>
      </c>
      <c r="H43" t="s">
        <v>247</v>
      </c>
    </row>
    <row r="44" spans="1:8" x14ac:dyDescent="0.3">
      <c r="A44" s="2"/>
      <c r="B44" s="1"/>
      <c r="C44" s="1"/>
      <c r="D44" s="4" t="s">
        <v>53</v>
      </c>
      <c r="E44" s="1"/>
      <c r="G44" s="13">
        <v>0</v>
      </c>
      <c r="H44" t="s">
        <v>248</v>
      </c>
    </row>
    <row r="45" spans="1:8" x14ac:dyDescent="0.3">
      <c r="A45" s="2"/>
      <c r="B45" s="1"/>
      <c r="C45" s="1"/>
      <c r="D45" s="4" t="s">
        <v>54</v>
      </c>
      <c r="E45" s="1"/>
    </row>
    <row r="46" spans="1:8" x14ac:dyDescent="0.3">
      <c r="A46" s="2"/>
      <c r="B46" s="1"/>
      <c r="C46" s="1"/>
      <c r="D46" s="4" t="s">
        <v>55</v>
      </c>
      <c r="E46" s="1"/>
    </row>
    <row r="47" spans="1:8" ht="28" x14ac:dyDescent="0.3">
      <c r="A47" s="2"/>
      <c r="B47" s="1"/>
      <c r="C47" s="1"/>
      <c r="D47" s="4" t="s">
        <v>56</v>
      </c>
      <c r="E47" s="1"/>
    </row>
    <row r="48" spans="1:8" x14ac:dyDescent="0.3">
      <c r="A48" s="2"/>
      <c r="B48" s="10">
        <v>4.1666666666666664E-2</v>
      </c>
      <c r="C48" s="1" t="s">
        <v>274</v>
      </c>
      <c r="D48" s="2" t="s">
        <v>273</v>
      </c>
      <c r="E48" s="3">
        <v>0</v>
      </c>
      <c r="G48" s="13">
        <v>0</v>
      </c>
      <c r="H48" t="s">
        <v>249</v>
      </c>
    </row>
    <row r="49" spans="1:13" x14ac:dyDescent="0.3">
      <c r="A49" s="2"/>
      <c r="B49" s="1"/>
      <c r="C49" s="1"/>
      <c r="D49" s="4" t="s">
        <v>57</v>
      </c>
      <c r="E49" s="1"/>
      <c r="G49" s="13">
        <v>1</v>
      </c>
      <c r="H49" t="s">
        <v>250</v>
      </c>
    </row>
    <row r="50" spans="1:13" x14ac:dyDescent="0.3">
      <c r="A50" s="2"/>
      <c r="B50" s="1"/>
      <c r="C50" s="1"/>
      <c r="D50" s="4" t="s">
        <v>58</v>
      </c>
      <c r="E50" s="1"/>
    </row>
    <row r="51" spans="1:13" x14ac:dyDescent="0.3">
      <c r="A51" s="2"/>
      <c r="B51" s="1"/>
      <c r="C51" s="1"/>
      <c r="D51" s="4" t="s">
        <v>59</v>
      </c>
      <c r="E51" s="1"/>
    </row>
    <row r="52" spans="1:13" x14ac:dyDescent="0.3">
      <c r="A52" s="2"/>
      <c r="B52" s="1"/>
      <c r="C52" s="1"/>
      <c r="D52" s="4" t="s">
        <v>60</v>
      </c>
      <c r="E52" s="1"/>
    </row>
    <row r="53" spans="1:13" s="6" customFormat="1" x14ac:dyDescent="0.3">
      <c r="A53" s="5" t="s">
        <v>61</v>
      </c>
      <c r="B53" s="7">
        <v>15</v>
      </c>
      <c r="C53" s="7" t="s">
        <v>62</v>
      </c>
      <c r="D53" s="5" t="s">
        <v>63</v>
      </c>
      <c r="E53" s="7">
        <v>0</v>
      </c>
      <c r="G53" s="8">
        <v>0</v>
      </c>
      <c r="H53" s="6" t="s">
        <v>235</v>
      </c>
      <c r="I53" s="16" t="s">
        <v>253</v>
      </c>
      <c r="J53" s="16" t="s">
        <v>225</v>
      </c>
      <c r="K53" s="16" t="s">
        <v>226</v>
      </c>
      <c r="M53" s="14"/>
    </row>
    <row r="54" spans="1:13" x14ac:dyDescent="0.3">
      <c r="A54" s="2"/>
      <c r="B54" s="1">
        <v>14</v>
      </c>
      <c r="C54" s="1" t="s">
        <v>64</v>
      </c>
      <c r="D54" s="2" t="s">
        <v>65</v>
      </c>
      <c r="E54" s="1"/>
      <c r="I54" s="13" t="s">
        <v>227</v>
      </c>
      <c r="J54" s="13" t="str">
        <f>_xlfn.TEXTJOIN("", TRUE,G53,G55,G57,G58,G60,G61,G62,G64)</f>
        <v>00000000</v>
      </c>
      <c r="K54" s="13" t="str">
        <f>_xlfn.TEXTJOIN("", TRUE, G65,G67,G68,G69,G73,G74,G78,G79)</f>
        <v>00000000</v>
      </c>
      <c r="M54" t="s">
        <v>233</v>
      </c>
    </row>
    <row r="55" spans="1:13" x14ac:dyDescent="0.3">
      <c r="A55" s="2"/>
      <c r="B55" s="1"/>
      <c r="C55" s="1"/>
      <c r="D55" s="4" t="s">
        <v>66</v>
      </c>
      <c r="E55" s="3">
        <v>0</v>
      </c>
      <c r="G55" s="13">
        <v>0</v>
      </c>
      <c r="H55" t="s">
        <v>237</v>
      </c>
      <c r="I55" s="13" t="s">
        <v>228</v>
      </c>
      <c r="J55" s="13" t="str">
        <f>BIN2HEX(J54)</f>
        <v>0</v>
      </c>
      <c r="K55" s="13" t="str">
        <f>BIN2HEX(K54)</f>
        <v>0</v>
      </c>
      <c r="M55" t="s">
        <v>232</v>
      </c>
    </row>
    <row r="56" spans="1:13" ht="42" x14ac:dyDescent="0.3">
      <c r="A56" s="2"/>
      <c r="B56" s="1"/>
      <c r="C56" s="1"/>
      <c r="D56" s="2" t="s">
        <v>67</v>
      </c>
      <c r="E56" s="1"/>
    </row>
    <row r="57" spans="1:13" x14ac:dyDescent="0.3">
      <c r="A57" s="2"/>
      <c r="B57" s="10">
        <v>0.55000000000000004</v>
      </c>
      <c r="C57" s="1" t="s">
        <v>62</v>
      </c>
      <c r="D57" s="2" t="s">
        <v>63</v>
      </c>
      <c r="E57" s="3">
        <v>0</v>
      </c>
      <c r="G57" s="13">
        <v>0</v>
      </c>
      <c r="H57" t="s">
        <v>238</v>
      </c>
    </row>
    <row r="58" spans="1:13" x14ac:dyDescent="0.3">
      <c r="A58" s="2"/>
      <c r="B58" s="10"/>
      <c r="C58" s="1"/>
      <c r="D58" s="2"/>
      <c r="E58" s="3"/>
      <c r="G58" s="13">
        <v>0</v>
      </c>
      <c r="H58" t="s">
        <v>239</v>
      </c>
    </row>
    <row r="59" spans="1:13" x14ac:dyDescent="0.3">
      <c r="A59" s="2"/>
      <c r="B59" s="1">
        <v>11</v>
      </c>
      <c r="C59" s="1" t="s">
        <v>68</v>
      </c>
      <c r="D59" s="2" t="s">
        <v>69</v>
      </c>
      <c r="E59" s="1"/>
    </row>
    <row r="60" spans="1:13" x14ac:dyDescent="0.3">
      <c r="A60" s="2"/>
      <c r="B60" s="1"/>
      <c r="C60" s="1"/>
      <c r="D60" s="4" t="s">
        <v>70</v>
      </c>
      <c r="E60" s="3">
        <v>0</v>
      </c>
      <c r="G60" s="13">
        <v>0</v>
      </c>
      <c r="H60" t="s">
        <v>240</v>
      </c>
    </row>
    <row r="61" spans="1:13" x14ac:dyDescent="0.3">
      <c r="A61" s="2"/>
      <c r="B61" s="1">
        <v>10</v>
      </c>
      <c r="C61" s="1" t="s">
        <v>62</v>
      </c>
      <c r="D61" s="2" t="s">
        <v>63</v>
      </c>
      <c r="E61" s="1"/>
      <c r="G61" s="13">
        <v>0</v>
      </c>
      <c r="H61" t="s">
        <v>241</v>
      </c>
    </row>
    <row r="62" spans="1:13" x14ac:dyDescent="0.3">
      <c r="A62" s="2"/>
      <c r="B62" s="1">
        <v>9</v>
      </c>
      <c r="C62" s="1" t="s">
        <v>71</v>
      </c>
      <c r="D62" s="2" t="s">
        <v>72</v>
      </c>
      <c r="E62" s="3">
        <v>1</v>
      </c>
      <c r="G62" s="13">
        <v>0</v>
      </c>
      <c r="H62" t="s">
        <v>242</v>
      </c>
    </row>
    <row r="63" spans="1:13" x14ac:dyDescent="0.3">
      <c r="A63" s="2"/>
      <c r="B63" s="1">
        <v>8</v>
      </c>
      <c r="C63" s="1" t="s">
        <v>73</v>
      </c>
      <c r="D63" s="2" t="s">
        <v>74</v>
      </c>
      <c r="E63" s="1"/>
    </row>
    <row r="64" spans="1:13" x14ac:dyDescent="0.3">
      <c r="A64" s="2"/>
      <c r="B64" s="1"/>
      <c r="C64" s="1"/>
      <c r="D64" s="4" t="s">
        <v>75</v>
      </c>
      <c r="E64" s="3">
        <v>0</v>
      </c>
      <c r="G64" s="13">
        <v>0</v>
      </c>
      <c r="H64" t="s">
        <v>243</v>
      </c>
    </row>
    <row r="65" spans="1:8" x14ac:dyDescent="0.3">
      <c r="A65" s="4"/>
      <c r="B65" s="3">
        <v>7</v>
      </c>
      <c r="C65" s="1" t="s">
        <v>62</v>
      </c>
      <c r="D65" s="2" t="s">
        <v>63</v>
      </c>
      <c r="E65" s="1"/>
      <c r="G65" s="13">
        <v>0</v>
      </c>
      <c r="H65" t="s">
        <v>244</v>
      </c>
    </row>
    <row r="66" spans="1:8" x14ac:dyDescent="0.3">
      <c r="A66" s="2"/>
      <c r="B66" s="1">
        <v>6</v>
      </c>
      <c r="C66" s="1" t="s">
        <v>77</v>
      </c>
      <c r="D66" s="2" t="s">
        <v>78</v>
      </c>
      <c r="E66" s="1"/>
    </row>
    <row r="67" spans="1:8" x14ac:dyDescent="0.3">
      <c r="A67" s="2"/>
      <c r="B67" s="1"/>
      <c r="C67" s="1"/>
      <c r="D67" s="4" t="s">
        <v>36</v>
      </c>
      <c r="E67" s="3">
        <v>0</v>
      </c>
      <c r="G67" s="13">
        <v>0</v>
      </c>
      <c r="H67" t="s">
        <v>245</v>
      </c>
    </row>
    <row r="68" spans="1:8" x14ac:dyDescent="0.3">
      <c r="A68" s="2"/>
      <c r="B68" s="10">
        <v>0.21111111111111111</v>
      </c>
      <c r="C68" s="1" t="s">
        <v>79</v>
      </c>
      <c r="D68" s="2" t="s">
        <v>80</v>
      </c>
      <c r="E68" s="3">
        <v>0</v>
      </c>
      <c r="G68" s="13">
        <v>0</v>
      </c>
      <c r="H68" t="s">
        <v>236</v>
      </c>
    </row>
    <row r="69" spans="1:8" x14ac:dyDescent="0.3">
      <c r="A69" s="2"/>
      <c r="B69" s="1"/>
      <c r="C69" s="1"/>
      <c r="D69" s="4" t="s">
        <v>81</v>
      </c>
      <c r="E69" s="1"/>
      <c r="G69" s="13">
        <v>0</v>
      </c>
      <c r="H69" t="s">
        <v>246</v>
      </c>
    </row>
    <row r="70" spans="1:8" ht="28" x14ac:dyDescent="0.3">
      <c r="A70" s="2"/>
      <c r="B70" s="1"/>
      <c r="C70" s="1"/>
      <c r="D70" s="4" t="s">
        <v>82</v>
      </c>
      <c r="E70" s="1"/>
    </row>
    <row r="71" spans="1:8" x14ac:dyDescent="0.3">
      <c r="A71" s="2"/>
      <c r="B71" s="1"/>
      <c r="C71" s="1"/>
      <c r="D71" s="4" t="s">
        <v>83</v>
      </c>
      <c r="E71" s="1"/>
    </row>
    <row r="72" spans="1:8" x14ac:dyDescent="0.3">
      <c r="A72" s="2"/>
      <c r="B72" s="1"/>
      <c r="C72" s="1"/>
      <c r="D72" s="4" t="s">
        <v>84</v>
      </c>
      <c r="E72" s="1"/>
    </row>
    <row r="73" spans="1:8" x14ac:dyDescent="0.3">
      <c r="A73" s="2"/>
      <c r="B73" s="10">
        <v>0.12638888888888888</v>
      </c>
      <c r="C73" s="1" t="s">
        <v>85</v>
      </c>
      <c r="D73" s="2" t="s">
        <v>86</v>
      </c>
      <c r="E73" s="3">
        <v>0</v>
      </c>
      <c r="G73" s="13">
        <v>0</v>
      </c>
      <c r="H73" t="s">
        <v>247</v>
      </c>
    </row>
    <row r="74" spans="1:8" x14ac:dyDescent="0.3">
      <c r="A74" s="2"/>
      <c r="B74" s="1"/>
      <c r="C74" s="1"/>
      <c r="D74" s="4" t="s">
        <v>81</v>
      </c>
      <c r="E74" s="1"/>
      <c r="G74" s="13">
        <v>0</v>
      </c>
      <c r="H74" t="s">
        <v>248</v>
      </c>
    </row>
    <row r="75" spans="1:8" x14ac:dyDescent="0.3">
      <c r="A75" s="2"/>
      <c r="B75" s="1"/>
      <c r="C75" s="1"/>
      <c r="D75" s="4" t="s">
        <v>87</v>
      </c>
      <c r="E75" s="1"/>
    </row>
    <row r="76" spans="1:8" x14ac:dyDescent="0.3">
      <c r="A76" s="2"/>
      <c r="B76" s="1"/>
      <c r="C76" s="1"/>
      <c r="D76" s="4" t="s">
        <v>83</v>
      </c>
      <c r="E76" s="1"/>
    </row>
    <row r="77" spans="1:8" x14ac:dyDescent="0.3">
      <c r="A77" s="2"/>
      <c r="B77" s="1"/>
      <c r="C77" s="1"/>
      <c r="D77" s="4" t="s">
        <v>84</v>
      </c>
      <c r="E77" s="1"/>
    </row>
    <row r="78" spans="1:8" x14ac:dyDescent="0.3">
      <c r="A78" s="2"/>
      <c r="B78" s="10">
        <v>4.1666666666666664E-2</v>
      </c>
      <c r="C78" s="1" t="s">
        <v>88</v>
      </c>
      <c r="D78" s="2" t="s">
        <v>89</v>
      </c>
      <c r="E78" s="3">
        <v>0</v>
      </c>
      <c r="G78" s="13">
        <v>0</v>
      </c>
      <c r="H78" t="s">
        <v>249</v>
      </c>
    </row>
    <row r="79" spans="1:8" x14ac:dyDescent="0.3">
      <c r="A79" s="2"/>
      <c r="B79" s="1"/>
      <c r="C79" s="1"/>
      <c r="D79" s="4" t="s">
        <v>81</v>
      </c>
      <c r="E79" s="1"/>
      <c r="G79" s="13">
        <v>0</v>
      </c>
      <c r="H79" t="s">
        <v>250</v>
      </c>
    </row>
    <row r="80" spans="1:8" x14ac:dyDescent="0.3">
      <c r="A80" s="2"/>
      <c r="B80" s="1"/>
      <c r="C80" s="1"/>
      <c r="D80" s="4" t="s">
        <v>90</v>
      </c>
      <c r="E80" s="1"/>
    </row>
    <row r="81" spans="1:11" x14ac:dyDescent="0.3">
      <c r="A81" s="2"/>
      <c r="B81" s="1"/>
      <c r="C81" s="1"/>
      <c r="D81" s="4" t="s">
        <v>83</v>
      </c>
      <c r="E81" s="1"/>
    </row>
    <row r="82" spans="1:11" x14ac:dyDescent="0.3">
      <c r="A82" s="2"/>
      <c r="B82" s="1"/>
      <c r="C82" s="1"/>
      <c r="D82" s="4" t="s">
        <v>84</v>
      </c>
      <c r="E82" s="1"/>
    </row>
    <row r="83" spans="1:11" s="6" customFormat="1" x14ac:dyDescent="0.3">
      <c r="A83" s="5" t="s">
        <v>91</v>
      </c>
      <c r="B83" s="7">
        <v>15</v>
      </c>
      <c r="C83" s="7" t="s">
        <v>92</v>
      </c>
      <c r="D83" s="5" t="s">
        <v>93</v>
      </c>
      <c r="E83" s="7">
        <v>1</v>
      </c>
      <c r="G83" s="8">
        <v>0</v>
      </c>
      <c r="H83" s="15" t="s">
        <v>235</v>
      </c>
      <c r="I83" s="16" t="s">
        <v>254</v>
      </c>
      <c r="J83" s="16" t="s">
        <v>225</v>
      </c>
      <c r="K83" s="16" t="s">
        <v>226</v>
      </c>
    </row>
    <row r="84" spans="1:11" ht="42" x14ac:dyDescent="0.3">
      <c r="A84" s="2"/>
      <c r="B84" s="1"/>
      <c r="C84" s="1"/>
      <c r="D84" s="4" t="s">
        <v>94</v>
      </c>
      <c r="E84" s="1"/>
      <c r="I84" s="13" t="s">
        <v>227</v>
      </c>
      <c r="J84" s="13" t="str">
        <f>_xlfn.TEXTJOIN("", TRUE,G83,G85,G86,G87,G88,G89,G90,G91)</f>
        <v>00001000</v>
      </c>
      <c r="K84" s="13" t="str">
        <f>_xlfn.TEXTJOIN("", TRUE,G92,G93,G94,G95,G96,G97,G98,G99)</f>
        <v>10000111</v>
      </c>
    </row>
    <row r="85" spans="1:11" x14ac:dyDescent="0.3">
      <c r="A85" s="2"/>
      <c r="B85" s="10">
        <v>0.59166666666666667</v>
      </c>
      <c r="C85" s="1" t="s">
        <v>62</v>
      </c>
      <c r="D85" s="2" t="s">
        <v>63</v>
      </c>
      <c r="E85" s="3">
        <v>0</v>
      </c>
      <c r="G85" s="13">
        <v>0</v>
      </c>
      <c r="H85" t="s">
        <v>237</v>
      </c>
      <c r="I85" s="13" t="s">
        <v>228</v>
      </c>
      <c r="J85" s="13" t="str">
        <f>BIN2HEX(J84)</f>
        <v>8</v>
      </c>
      <c r="K85" s="13" t="str">
        <f>BIN2HEX(K84)</f>
        <v>87</v>
      </c>
    </row>
    <row r="86" spans="1:11" x14ac:dyDescent="0.3">
      <c r="A86" s="2"/>
      <c r="B86" s="10"/>
      <c r="C86" s="1"/>
      <c r="D86" s="2"/>
      <c r="E86" s="3"/>
      <c r="G86" s="13">
        <v>0</v>
      </c>
      <c r="H86" t="s">
        <v>238</v>
      </c>
    </row>
    <row r="87" spans="1:11" x14ac:dyDescent="0.3">
      <c r="A87" s="2"/>
      <c r="B87" s="10"/>
      <c r="C87" s="1"/>
      <c r="D87" s="2"/>
      <c r="E87" s="3"/>
      <c r="G87" s="13">
        <v>0</v>
      </c>
      <c r="H87" t="s">
        <v>239</v>
      </c>
    </row>
    <row r="88" spans="1:11" ht="28" x14ac:dyDescent="0.3">
      <c r="A88" s="2"/>
      <c r="B88" s="10">
        <v>0.46388888888888891</v>
      </c>
      <c r="C88" s="1" t="s">
        <v>255</v>
      </c>
      <c r="D88" s="2" t="s">
        <v>95</v>
      </c>
      <c r="E88" s="3">
        <v>1000</v>
      </c>
      <c r="G88" s="13">
        <v>1</v>
      </c>
      <c r="H88" t="s">
        <v>240</v>
      </c>
    </row>
    <row r="89" spans="1:11" x14ac:dyDescent="0.3">
      <c r="A89" s="2"/>
      <c r="B89" s="10"/>
      <c r="C89" s="1"/>
      <c r="D89" s="2"/>
      <c r="E89" s="3"/>
      <c r="G89" s="13">
        <v>0</v>
      </c>
      <c r="H89" t="s">
        <v>241</v>
      </c>
    </row>
    <row r="90" spans="1:11" x14ac:dyDescent="0.3">
      <c r="A90" s="2"/>
      <c r="B90" s="10"/>
      <c r="C90" s="1"/>
      <c r="D90" s="2"/>
      <c r="E90" s="3"/>
      <c r="G90" s="13">
        <v>0</v>
      </c>
      <c r="H90" t="s">
        <v>242</v>
      </c>
    </row>
    <row r="91" spans="1:11" x14ac:dyDescent="0.3">
      <c r="A91" s="2"/>
      <c r="B91" s="10"/>
      <c r="C91" s="1"/>
      <c r="D91" s="2"/>
      <c r="E91" s="3"/>
      <c r="G91" s="13">
        <v>0</v>
      </c>
      <c r="H91" t="s">
        <v>243</v>
      </c>
    </row>
    <row r="92" spans="1:11" ht="28" x14ac:dyDescent="0.3">
      <c r="A92" s="2"/>
      <c r="B92" s="10">
        <v>0.29583333333333334</v>
      </c>
      <c r="C92" s="1" t="s">
        <v>96</v>
      </c>
      <c r="D92" s="2" t="s">
        <v>97</v>
      </c>
      <c r="E92" s="3">
        <v>10</v>
      </c>
      <c r="G92" s="13">
        <v>1</v>
      </c>
      <c r="H92" t="s">
        <v>244</v>
      </c>
    </row>
    <row r="93" spans="1:11" x14ac:dyDescent="0.3">
      <c r="A93" s="2"/>
      <c r="B93" s="1"/>
      <c r="C93" s="1"/>
      <c r="D93" s="4" t="s">
        <v>98</v>
      </c>
      <c r="E93" s="1"/>
      <c r="G93" s="13">
        <v>0</v>
      </c>
      <c r="H93" t="s">
        <v>245</v>
      </c>
    </row>
    <row r="94" spans="1:11" x14ac:dyDescent="0.3">
      <c r="A94" s="2"/>
      <c r="B94" s="10">
        <v>0.21111111111111111</v>
      </c>
      <c r="C94" s="1" t="s">
        <v>62</v>
      </c>
      <c r="D94" s="2" t="s">
        <v>63</v>
      </c>
      <c r="E94" s="3">
        <v>0</v>
      </c>
      <c r="G94" s="13">
        <v>0</v>
      </c>
      <c r="H94" t="s">
        <v>236</v>
      </c>
    </row>
    <row r="95" spans="1:11" x14ac:dyDescent="0.3">
      <c r="A95" s="2"/>
      <c r="B95" s="10"/>
      <c r="C95" s="1"/>
      <c r="D95" s="2"/>
      <c r="E95" s="3"/>
      <c r="G95" s="13">
        <v>0</v>
      </c>
      <c r="H95" t="s">
        <v>246</v>
      </c>
    </row>
    <row r="96" spans="1:11" x14ac:dyDescent="0.3">
      <c r="A96" s="2"/>
      <c r="B96" s="10">
        <v>0.125</v>
      </c>
      <c r="C96" s="1" t="s">
        <v>99</v>
      </c>
      <c r="D96" s="2" t="s">
        <v>100</v>
      </c>
      <c r="E96" s="3">
        <v>1111</v>
      </c>
      <c r="G96" s="13">
        <v>0</v>
      </c>
      <c r="H96" t="s">
        <v>247</v>
      </c>
    </row>
    <row r="97" spans="1:11" x14ac:dyDescent="0.3">
      <c r="A97" s="2"/>
      <c r="B97" s="1"/>
      <c r="C97" s="1"/>
      <c r="D97" s="4" t="s">
        <v>101</v>
      </c>
      <c r="E97" s="1"/>
      <c r="G97" s="13">
        <v>1</v>
      </c>
      <c r="H97" t="s">
        <v>248</v>
      </c>
    </row>
    <row r="98" spans="1:11" x14ac:dyDescent="0.3">
      <c r="A98" s="2"/>
      <c r="B98" s="1"/>
      <c r="C98" s="1"/>
      <c r="D98" s="2" t="s">
        <v>102</v>
      </c>
      <c r="E98" s="1"/>
      <c r="G98" s="13">
        <v>1</v>
      </c>
      <c r="H98" t="s">
        <v>249</v>
      </c>
    </row>
    <row r="99" spans="1:11" ht="28" x14ac:dyDescent="0.3">
      <c r="A99" s="2"/>
      <c r="B99" s="1"/>
      <c r="C99" s="1"/>
      <c r="D99" s="4" t="s">
        <v>103</v>
      </c>
      <c r="E99" s="1"/>
      <c r="G99" s="13">
        <v>1</v>
      </c>
      <c r="H99" t="s">
        <v>250</v>
      </c>
    </row>
    <row r="100" spans="1:11" s="6" customFormat="1" x14ac:dyDescent="0.3">
      <c r="A100" s="5" t="s">
        <v>104</v>
      </c>
      <c r="B100" s="7">
        <v>15</v>
      </c>
      <c r="C100" s="7" t="s">
        <v>62</v>
      </c>
      <c r="D100" s="5" t="s">
        <v>63</v>
      </c>
      <c r="E100" s="7">
        <v>0</v>
      </c>
      <c r="G100" s="8">
        <v>0</v>
      </c>
      <c r="H100" s="15" t="s">
        <v>235</v>
      </c>
      <c r="I100" s="16" t="s">
        <v>256</v>
      </c>
      <c r="J100" s="16" t="s">
        <v>225</v>
      </c>
      <c r="K100" s="16" t="s">
        <v>226</v>
      </c>
    </row>
    <row r="101" spans="1:11" ht="28" x14ac:dyDescent="0.3">
      <c r="A101" s="2"/>
      <c r="B101" s="10">
        <v>0.59236111111111112</v>
      </c>
      <c r="C101" s="1" t="s">
        <v>105</v>
      </c>
      <c r="D101" s="2" t="s">
        <v>106</v>
      </c>
      <c r="E101" s="3">
        <v>0</v>
      </c>
      <c r="G101" s="13">
        <v>0</v>
      </c>
      <c r="H101" t="s">
        <v>237</v>
      </c>
      <c r="I101" s="13" t="s">
        <v>227</v>
      </c>
      <c r="J101" s="13" t="str">
        <f>_xlfn.TEXTJOIN("", TRUE,G101,G102,G103,G105,G108,G110,G112,G114)</f>
        <v>00000000</v>
      </c>
      <c r="K101" s="13" t="str">
        <f>_xlfn.TEXTJOIN("", TRUE,G114,G115,G116,G117,G124,G125,G126,G127)</f>
        <v>00000000</v>
      </c>
    </row>
    <row r="102" spans="1:11" ht="42" x14ac:dyDescent="0.3">
      <c r="A102" s="2"/>
      <c r="B102" s="1"/>
      <c r="C102" s="1"/>
      <c r="D102" s="4" t="s">
        <v>272</v>
      </c>
      <c r="E102" s="1"/>
      <c r="G102" s="13">
        <v>0</v>
      </c>
      <c r="H102" t="s">
        <v>238</v>
      </c>
      <c r="I102" s="13" t="s">
        <v>228</v>
      </c>
      <c r="J102" s="13" t="str">
        <f>BIN2HEX(J101)</f>
        <v>0</v>
      </c>
      <c r="K102" s="13" t="str">
        <f>BIN2HEX(K101)</f>
        <v>0</v>
      </c>
    </row>
    <row r="103" spans="1:11" x14ac:dyDescent="0.3">
      <c r="A103" s="2"/>
      <c r="B103" s="1">
        <v>12</v>
      </c>
      <c r="C103" s="1" t="s">
        <v>107</v>
      </c>
      <c r="D103" s="2" t="s">
        <v>108</v>
      </c>
      <c r="E103" s="3">
        <v>0</v>
      </c>
      <c r="G103" s="13">
        <v>0</v>
      </c>
      <c r="H103" t="s">
        <v>239</v>
      </c>
    </row>
    <row r="104" spans="1:11" x14ac:dyDescent="0.3">
      <c r="A104" s="2"/>
      <c r="B104" s="1"/>
      <c r="C104" s="1"/>
      <c r="D104" s="4" t="s">
        <v>109</v>
      </c>
      <c r="E104" s="1"/>
    </row>
    <row r="105" spans="1:11" x14ac:dyDescent="0.3">
      <c r="A105" s="2"/>
      <c r="B105" s="1">
        <v>11</v>
      </c>
      <c r="C105" s="1" t="s">
        <v>110</v>
      </c>
      <c r="D105" s="2" t="s">
        <v>111</v>
      </c>
      <c r="E105" s="3">
        <v>10</v>
      </c>
      <c r="G105" s="13">
        <v>0</v>
      </c>
      <c r="H105" t="s">
        <v>240</v>
      </c>
    </row>
    <row r="106" spans="1:11" ht="28" x14ac:dyDescent="0.3">
      <c r="A106" s="2"/>
      <c r="B106" s="1"/>
      <c r="C106" s="1"/>
      <c r="D106" s="4" t="s">
        <v>112</v>
      </c>
      <c r="E106" s="1"/>
    </row>
    <row r="107" spans="1:11" ht="28" x14ac:dyDescent="0.3">
      <c r="A107" s="2"/>
      <c r="B107" s="1"/>
      <c r="C107" s="1"/>
      <c r="D107" s="4" t="s">
        <v>113</v>
      </c>
      <c r="E107" s="1"/>
    </row>
    <row r="108" spans="1:11" x14ac:dyDescent="0.3">
      <c r="A108" s="2"/>
      <c r="B108" s="1">
        <v>10</v>
      </c>
      <c r="C108" s="1" t="s">
        <v>114</v>
      </c>
      <c r="D108" s="2" t="s">
        <v>115</v>
      </c>
      <c r="E108" s="3">
        <v>0</v>
      </c>
      <c r="G108" s="13">
        <v>0</v>
      </c>
      <c r="H108" t="s">
        <v>241</v>
      </c>
    </row>
    <row r="109" spans="1:11" x14ac:dyDescent="0.3">
      <c r="A109" s="2"/>
      <c r="B109" s="1"/>
      <c r="C109" s="1"/>
      <c r="D109" s="4" t="s">
        <v>116</v>
      </c>
      <c r="E109" s="1"/>
    </row>
    <row r="110" spans="1:11" ht="28" x14ac:dyDescent="0.3">
      <c r="A110" s="4"/>
      <c r="B110" s="3">
        <v>9</v>
      </c>
      <c r="C110" s="1" t="s">
        <v>117</v>
      </c>
      <c r="D110" s="4" t="s">
        <v>118</v>
      </c>
      <c r="E110" s="3">
        <v>0</v>
      </c>
      <c r="G110" s="13">
        <v>0</v>
      </c>
      <c r="H110" t="s">
        <v>242</v>
      </c>
    </row>
    <row r="111" spans="1:11" ht="28" x14ac:dyDescent="0.3">
      <c r="A111" s="2"/>
      <c r="B111" s="1"/>
      <c r="C111" s="1"/>
      <c r="D111" s="4" t="s">
        <v>119</v>
      </c>
      <c r="E111" s="1"/>
    </row>
    <row r="112" spans="1:11" ht="28" x14ac:dyDescent="0.3">
      <c r="A112" s="2"/>
      <c r="B112" s="1">
        <v>8</v>
      </c>
      <c r="C112" s="1" t="s">
        <v>120</v>
      </c>
      <c r="D112" s="4" t="s">
        <v>121</v>
      </c>
      <c r="E112" s="3">
        <v>0</v>
      </c>
      <c r="G112" s="13">
        <v>0</v>
      </c>
      <c r="H112" t="s">
        <v>243</v>
      </c>
    </row>
    <row r="113" spans="1:11" x14ac:dyDescent="0.3">
      <c r="A113" s="2"/>
      <c r="B113" s="1"/>
      <c r="C113" s="1"/>
      <c r="D113" s="4" t="s">
        <v>122</v>
      </c>
      <c r="E113" s="1"/>
    </row>
    <row r="114" spans="1:11" x14ac:dyDescent="0.3">
      <c r="A114" s="2"/>
      <c r="B114" s="10">
        <v>0.29444444444444445</v>
      </c>
      <c r="C114" s="1" t="s">
        <v>123</v>
      </c>
      <c r="D114" s="4" t="s">
        <v>124</v>
      </c>
      <c r="E114" s="3">
        <v>0</v>
      </c>
      <c r="G114" s="13">
        <v>0</v>
      </c>
      <c r="H114" t="s">
        <v>244</v>
      </c>
    </row>
    <row r="115" spans="1:11" x14ac:dyDescent="0.3">
      <c r="A115" s="2"/>
      <c r="B115" s="1"/>
      <c r="C115" s="1"/>
      <c r="D115" s="4" t="s">
        <v>125</v>
      </c>
      <c r="E115" s="1"/>
      <c r="G115" s="13">
        <v>0</v>
      </c>
      <c r="H115" t="s">
        <v>245</v>
      </c>
    </row>
    <row r="116" spans="1:11" x14ac:dyDescent="0.3">
      <c r="A116" s="2"/>
      <c r="B116" s="1"/>
      <c r="C116" s="1"/>
      <c r="D116" s="4" t="s">
        <v>126</v>
      </c>
      <c r="E116" s="1"/>
      <c r="G116" s="13">
        <v>0</v>
      </c>
      <c r="H116" t="s">
        <v>236</v>
      </c>
    </row>
    <row r="117" spans="1:11" x14ac:dyDescent="0.3">
      <c r="A117" s="2"/>
      <c r="B117" s="1"/>
      <c r="C117" s="1"/>
      <c r="D117" s="4" t="s">
        <v>127</v>
      </c>
      <c r="E117" s="1"/>
      <c r="G117" s="13">
        <v>0</v>
      </c>
      <c r="H117" t="s">
        <v>246</v>
      </c>
    </row>
    <row r="118" spans="1:11" x14ac:dyDescent="0.3">
      <c r="A118" s="2"/>
      <c r="B118" s="1"/>
      <c r="C118" s="1"/>
      <c r="D118" s="4" t="s">
        <v>128</v>
      </c>
      <c r="E118" s="1"/>
    </row>
    <row r="119" spans="1:11" x14ac:dyDescent="0.3">
      <c r="A119" s="2"/>
      <c r="B119" s="1"/>
      <c r="C119" s="1"/>
      <c r="D119" s="4" t="s">
        <v>129</v>
      </c>
      <c r="E119" s="1"/>
    </row>
    <row r="120" spans="1:11" x14ac:dyDescent="0.3">
      <c r="A120" s="2"/>
      <c r="B120" s="1"/>
      <c r="C120" s="1"/>
      <c r="D120" s="4" t="s">
        <v>130</v>
      </c>
      <c r="E120" s="1"/>
    </row>
    <row r="121" spans="1:11" x14ac:dyDescent="0.3">
      <c r="A121" s="2"/>
      <c r="B121" s="1"/>
      <c r="C121" s="1"/>
      <c r="D121" s="4" t="s">
        <v>131</v>
      </c>
      <c r="E121" s="1"/>
    </row>
    <row r="122" spans="1:11" ht="28" x14ac:dyDescent="0.3">
      <c r="A122" s="2"/>
      <c r="B122" s="1"/>
      <c r="C122" s="1"/>
      <c r="D122" s="4" t="s">
        <v>132</v>
      </c>
      <c r="E122" s="1"/>
    </row>
    <row r="123" spans="1:11" x14ac:dyDescent="0.3">
      <c r="A123" s="2"/>
      <c r="B123" s="1"/>
      <c r="C123" s="1"/>
      <c r="D123" s="4" t="s">
        <v>133</v>
      </c>
      <c r="E123" s="1"/>
    </row>
    <row r="124" spans="1:11" ht="28" x14ac:dyDescent="0.3">
      <c r="A124" s="2"/>
      <c r="B124" s="1">
        <v>3</v>
      </c>
      <c r="C124" s="1" t="s">
        <v>134</v>
      </c>
      <c r="D124" s="4" t="s">
        <v>135</v>
      </c>
      <c r="E124" s="3">
        <v>0</v>
      </c>
      <c r="G124" s="13">
        <v>0</v>
      </c>
      <c r="H124" t="s">
        <v>247</v>
      </c>
    </row>
    <row r="125" spans="1:11" ht="28" x14ac:dyDescent="0.3">
      <c r="A125" s="2"/>
      <c r="B125" s="1">
        <v>2</v>
      </c>
      <c r="C125" s="1" t="s">
        <v>136</v>
      </c>
      <c r="D125" s="4" t="s">
        <v>137</v>
      </c>
      <c r="E125" s="3">
        <v>0</v>
      </c>
      <c r="G125" s="13">
        <v>0</v>
      </c>
      <c r="H125" t="s">
        <v>248</v>
      </c>
    </row>
    <row r="126" spans="1:11" ht="28" x14ac:dyDescent="0.3">
      <c r="A126" s="2"/>
      <c r="B126" s="1">
        <v>1</v>
      </c>
      <c r="C126" s="1" t="s">
        <v>138</v>
      </c>
      <c r="D126" s="4" t="s">
        <v>139</v>
      </c>
      <c r="E126" s="3">
        <v>0</v>
      </c>
      <c r="G126" s="13">
        <v>0</v>
      </c>
      <c r="H126" t="s">
        <v>249</v>
      </c>
    </row>
    <row r="127" spans="1:11" ht="28" x14ac:dyDescent="0.3">
      <c r="A127" s="2"/>
      <c r="B127" s="1">
        <v>0</v>
      </c>
      <c r="C127" s="1" t="s">
        <v>140</v>
      </c>
      <c r="D127" s="4" t="s">
        <v>141</v>
      </c>
      <c r="E127" s="3">
        <v>0</v>
      </c>
      <c r="G127" s="13">
        <v>0</v>
      </c>
      <c r="H127" t="s">
        <v>250</v>
      </c>
    </row>
    <row r="128" spans="1:11" s="6" customFormat="1" x14ac:dyDescent="0.3">
      <c r="A128" s="5" t="s">
        <v>142</v>
      </c>
      <c r="B128" s="7">
        <v>15</v>
      </c>
      <c r="C128" s="7" t="s">
        <v>62</v>
      </c>
      <c r="D128" s="5" t="s">
        <v>63</v>
      </c>
      <c r="E128" s="7">
        <v>0</v>
      </c>
      <c r="G128" s="8">
        <v>0</v>
      </c>
      <c r="H128" s="15" t="s">
        <v>235</v>
      </c>
      <c r="I128" s="16" t="s">
        <v>257</v>
      </c>
      <c r="J128" s="16" t="s">
        <v>225</v>
      </c>
      <c r="K128" s="16" t="s">
        <v>226</v>
      </c>
    </row>
    <row r="129" spans="1:11" ht="28" x14ac:dyDescent="0.3">
      <c r="A129" s="2"/>
      <c r="B129" s="10">
        <v>0.59027777777777779</v>
      </c>
      <c r="C129" s="1" t="s">
        <v>143</v>
      </c>
      <c r="D129" s="2" t="s">
        <v>144</v>
      </c>
      <c r="E129" s="3">
        <v>10000</v>
      </c>
      <c r="G129" s="13">
        <v>1</v>
      </c>
      <c r="H129" t="s">
        <v>237</v>
      </c>
      <c r="I129" s="13" t="s">
        <v>227</v>
      </c>
      <c r="J129" s="13" t="str">
        <f>_xlfn.TEXTJOIN("", TRUE,G128,G129,G130,G131,G132,G133,G134,G136)</f>
        <v>01000010</v>
      </c>
      <c r="K129" s="13" t="str">
        <f>_xlfn.TEXTJOIN("", TRUE,G137,G138,G139,G140,G141,G142,G143,G144)</f>
        <v>00000010</v>
      </c>
    </row>
    <row r="130" spans="1:11" x14ac:dyDescent="0.3">
      <c r="A130" s="2"/>
      <c r="B130" s="10"/>
      <c r="C130" s="1"/>
      <c r="D130" s="2"/>
      <c r="E130" s="3"/>
      <c r="G130" s="13">
        <v>0</v>
      </c>
      <c r="H130" t="s">
        <v>238</v>
      </c>
      <c r="I130" s="13" t="s">
        <v>228</v>
      </c>
      <c r="J130" s="13" t="str">
        <f>BIN2HEX(J129)</f>
        <v>42</v>
      </c>
      <c r="K130" s="13" t="str">
        <f>BIN2HEX(K129)</f>
        <v>2</v>
      </c>
    </row>
    <row r="131" spans="1:11" x14ac:dyDescent="0.3">
      <c r="A131" s="2"/>
      <c r="B131" s="10"/>
      <c r="C131" s="1"/>
      <c r="D131" s="2"/>
      <c r="E131" s="3"/>
      <c r="G131" s="13">
        <v>0</v>
      </c>
      <c r="H131" t="s">
        <v>239</v>
      </c>
    </row>
    <row r="132" spans="1:11" x14ac:dyDescent="0.3">
      <c r="A132" s="2"/>
      <c r="B132" s="10"/>
      <c r="C132" s="1"/>
      <c r="D132" s="2"/>
      <c r="E132" s="3"/>
      <c r="G132" s="13">
        <v>0</v>
      </c>
      <c r="H132" t="s">
        <v>240</v>
      </c>
    </row>
    <row r="133" spans="1:11" x14ac:dyDescent="0.3">
      <c r="A133" s="2"/>
      <c r="B133" s="10"/>
      <c r="C133" s="1"/>
      <c r="D133" s="2"/>
      <c r="E133" s="3"/>
      <c r="G133" s="13">
        <v>0</v>
      </c>
      <c r="H133" t="s">
        <v>241</v>
      </c>
    </row>
    <row r="134" spans="1:11" ht="28" x14ac:dyDescent="0.3">
      <c r="A134" s="2"/>
      <c r="B134" s="1">
        <v>9</v>
      </c>
      <c r="C134" s="1" t="s">
        <v>145</v>
      </c>
      <c r="D134" s="4" t="s">
        <v>146</v>
      </c>
      <c r="E134" s="3">
        <v>1</v>
      </c>
      <c r="G134" s="13">
        <v>1</v>
      </c>
      <c r="H134" t="s">
        <v>242</v>
      </c>
    </row>
    <row r="135" spans="1:11" ht="28" x14ac:dyDescent="0.3">
      <c r="A135" s="2"/>
      <c r="B135" s="1"/>
      <c r="C135" s="1"/>
      <c r="D135" s="4" t="s">
        <v>147</v>
      </c>
      <c r="E135" s="1"/>
    </row>
    <row r="136" spans="1:11" x14ac:dyDescent="0.3">
      <c r="A136" s="2"/>
      <c r="B136" s="1">
        <v>8</v>
      </c>
      <c r="C136" s="1" t="s">
        <v>62</v>
      </c>
      <c r="D136" s="2" t="s">
        <v>63</v>
      </c>
      <c r="E136" s="3">
        <v>0</v>
      </c>
      <c r="G136" s="13">
        <v>0</v>
      </c>
      <c r="H136" t="s">
        <v>243</v>
      </c>
    </row>
    <row r="137" spans="1:11" ht="28" x14ac:dyDescent="0.3">
      <c r="A137" s="2"/>
      <c r="B137" s="10">
        <v>0.29305555555555557</v>
      </c>
      <c r="C137" s="1" t="s">
        <v>148</v>
      </c>
      <c r="D137" s="2" t="s">
        <v>149</v>
      </c>
      <c r="E137" s="3">
        <v>0</v>
      </c>
      <c r="G137" s="13">
        <v>0</v>
      </c>
      <c r="H137" t="s">
        <v>244</v>
      </c>
    </row>
    <row r="138" spans="1:11" x14ac:dyDescent="0.3">
      <c r="A138" s="2"/>
      <c r="B138" s="10"/>
      <c r="C138" s="1"/>
      <c r="D138" s="2"/>
      <c r="E138" s="3"/>
      <c r="G138" s="13">
        <v>0</v>
      </c>
      <c r="H138" t="s">
        <v>245</v>
      </c>
    </row>
    <row r="139" spans="1:11" x14ac:dyDescent="0.3">
      <c r="A139" s="2"/>
      <c r="B139" s="10"/>
      <c r="C139" s="1"/>
      <c r="D139" s="2"/>
      <c r="E139" s="3"/>
      <c r="G139" s="13">
        <v>0</v>
      </c>
      <c r="H139" t="s">
        <v>236</v>
      </c>
    </row>
    <row r="140" spans="1:11" x14ac:dyDescent="0.3">
      <c r="A140" s="2"/>
      <c r="B140" s="10"/>
      <c r="C140" s="1"/>
      <c r="D140" s="2"/>
      <c r="E140" s="3"/>
      <c r="G140" s="13">
        <v>0</v>
      </c>
      <c r="H140" t="s">
        <v>246</v>
      </c>
    </row>
    <row r="141" spans="1:11" x14ac:dyDescent="0.3">
      <c r="A141" s="2"/>
      <c r="B141" s="10"/>
      <c r="C141" s="1"/>
      <c r="D141" s="2"/>
      <c r="E141" s="3"/>
      <c r="G141" s="13">
        <v>0</v>
      </c>
      <c r="H141" t="s">
        <v>247</v>
      </c>
    </row>
    <row r="142" spans="1:11" x14ac:dyDescent="0.3">
      <c r="A142" s="2"/>
      <c r="B142" s="10"/>
      <c r="C142" s="1"/>
      <c r="D142" s="2"/>
      <c r="E142" s="3"/>
      <c r="G142" s="13">
        <v>0</v>
      </c>
      <c r="H142" t="s">
        <v>248</v>
      </c>
    </row>
    <row r="143" spans="1:11" x14ac:dyDescent="0.3">
      <c r="A143" s="2"/>
      <c r="B143" s="1">
        <v>1</v>
      </c>
      <c r="C143" s="1" t="s">
        <v>150</v>
      </c>
      <c r="D143" s="4" t="s">
        <v>151</v>
      </c>
      <c r="E143" s="3">
        <v>1</v>
      </c>
      <c r="G143" s="13">
        <v>1</v>
      </c>
      <c r="H143" t="s">
        <v>249</v>
      </c>
    </row>
    <row r="144" spans="1:11" ht="28" x14ac:dyDescent="0.3">
      <c r="A144" s="2"/>
      <c r="B144" s="1">
        <v>0</v>
      </c>
      <c r="C144" s="1" t="s">
        <v>152</v>
      </c>
      <c r="D144" s="4" t="s">
        <v>153</v>
      </c>
      <c r="E144" s="3">
        <v>0</v>
      </c>
      <c r="G144" s="13">
        <v>0</v>
      </c>
      <c r="H144" t="s">
        <v>250</v>
      </c>
    </row>
    <row r="145" spans="1:14" ht="28" x14ac:dyDescent="0.3">
      <c r="A145" s="2"/>
      <c r="B145" s="1"/>
      <c r="C145" s="1"/>
      <c r="D145" s="4" t="s">
        <v>154</v>
      </c>
      <c r="E145" s="1"/>
    </row>
    <row r="146" spans="1:14" s="6" customFormat="1" x14ac:dyDescent="0.3">
      <c r="A146" s="5" t="s">
        <v>258</v>
      </c>
      <c r="B146" s="7">
        <v>15</v>
      </c>
      <c r="C146" s="7" t="s">
        <v>259</v>
      </c>
      <c r="D146" s="5" t="s">
        <v>155</v>
      </c>
      <c r="E146" s="7">
        <v>0</v>
      </c>
      <c r="G146" s="8"/>
      <c r="H146" s="15" t="s">
        <v>235</v>
      </c>
      <c r="I146" s="16" t="s">
        <v>258</v>
      </c>
      <c r="J146" s="16" t="s">
        <v>225</v>
      </c>
      <c r="K146" s="16" t="s">
        <v>226</v>
      </c>
      <c r="M146" s="6" t="s">
        <v>264</v>
      </c>
      <c r="N146" s="6" t="s">
        <v>263</v>
      </c>
    </row>
    <row r="147" spans="1:14" ht="42" x14ac:dyDescent="0.3">
      <c r="A147" s="2"/>
      <c r="B147" s="1"/>
      <c r="C147" s="1"/>
      <c r="D147" s="4" t="s">
        <v>156</v>
      </c>
      <c r="E147" s="1"/>
      <c r="I147" s="13" t="s">
        <v>227</v>
      </c>
      <c r="J147" s="13" t="str">
        <f>HEX2BIN(J148)</f>
        <v>10001</v>
      </c>
      <c r="K147" s="13" t="str">
        <f>HEX2BIN(K148)</f>
        <v>111111</v>
      </c>
    </row>
    <row r="148" spans="1:14" x14ac:dyDescent="0.3">
      <c r="A148" s="2"/>
      <c r="B148" s="1">
        <v>14</v>
      </c>
      <c r="C148" s="1" t="s">
        <v>268</v>
      </c>
      <c r="D148" s="2" t="s">
        <v>157</v>
      </c>
      <c r="E148" s="3">
        <v>0</v>
      </c>
      <c r="H148" t="s">
        <v>237</v>
      </c>
      <c r="I148" s="13" t="s">
        <v>228</v>
      </c>
      <c r="J148" s="13">
        <v>11</v>
      </c>
      <c r="K148" s="13" t="s">
        <v>267</v>
      </c>
    </row>
    <row r="149" spans="1:14" x14ac:dyDescent="0.3">
      <c r="A149" s="2"/>
      <c r="B149" s="1"/>
      <c r="C149" s="1"/>
      <c r="D149" s="4" t="s">
        <v>158</v>
      </c>
      <c r="E149" s="1"/>
    </row>
    <row r="150" spans="1:14" ht="28" x14ac:dyDescent="0.3">
      <c r="A150" s="2"/>
      <c r="B150" s="1"/>
      <c r="C150" s="1"/>
      <c r="D150" s="2" t="s">
        <v>159</v>
      </c>
      <c r="E150" s="1"/>
    </row>
    <row r="151" spans="1:14" x14ac:dyDescent="0.3">
      <c r="A151" s="2"/>
      <c r="B151" s="1">
        <v>13</v>
      </c>
      <c r="C151" s="1" t="s">
        <v>160</v>
      </c>
      <c r="D151" s="2" t="s">
        <v>161</v>
      </c>
      <c r="E151" s="3">
        <v>0</v>
      </c>
      <c r="H151" t="s">
        <v>238</v>
      </c>
    </row>
    <row r="152" spans="1:14" ht="28" x14ac:dyDescent="0.3">
      <c r="A152" s="2"/>
      <c r="B152" s="1"/>
      <c r="C152" s="1"/>
      <c r="D152" s="4" t="s">
        <v>162</v>
      </c>
      <c r="E152" s="1"/>
    </row>
    <row r="153" spans="1:14" ht="28" x14ac:dyDescent="0.3">
      <c r="A153" s="2"/>
      <c r="B153" s="1"/>
      <c r="C153" s="1"/>
      <c r="D153" s="2" t="s">
        <v>163</v>
      </c>
      <c r="E153" s="1"/>
    </row>
    <row r="154" spans="1:14" x14ac:dyDescent="0.3">
      <c r="A154" s="2"/>
      <c r="B154" s="1">
        <v>12</v>
      </c>
      <c r="C154" s="1" t="s">
        <v>164</v>
      </c>
      <c r="D154" s="2" t="s">
        <v>165</v>
      </c>
      <c r="E154" s="3">
        <v>0</v>
      </c>
      <c r="H154" t="s">
        <v>239</v>
      </c>
    </row>
    <row r="155" spans="1:14" ht="28" x14ac:dyDescent="0.3">
      <c r="A155" s="2"/>
      <c r="B155" s="1"/>
      <c r="C155" s="1"/>
      <c r="D155" s="4" t="s">
        <v>166</v>
      </c>
      <c r="E155" s="1"/>
    </row>
    <row r="156" spans="1:14" x14ac:dyDescent="0.3">
      <c r="A156" s="4"/>
      <c r="B156" s="3">
        <v>12</v>
      </c>
      <c r="C156" s="1" t="s">
        <v>164</v>
      </c>
      <c r="D156" s="2" t="s">
        <v>167</v>
      </c>
      <c r="E156" s="3">
        <v>0</v>
      </c>
    </row>
    <row r="157" spans="1:14" x14ac:dyDescent="0.3">
      <c r="A157" s="2"/>
      <c r="B157" s="1"/>
      <c r="C157" s="1"/>
      <c r="D157" s="4" t="s">
        <v>168</v>
      </c>
      <c r="E157" s="1"/>
    </row>
    <row r="158" spans="1:14" ht="28" x14ac:dyDescent="0.3">
      <c r="A158" s="2"/>
      <c r="B158" s="1"/>
      <c r="C158" s="1"/>
      <c r="D158" s="4" t="s">
        <v>169</v>
      </c>
      <c r="E158" s="1"/>
    </row>
    <row r="159" spans="1:14" x14ac:dyDescent="0.3">
      <c r="A159" s="2"/>
      <c r="B159" s="1">
        <v>11</v>
      </c>
      <c r="C159" s="1" t="s">
        <v>170</v>
      </c>
      <c r="D159" s="2" t="s">
        <v>171</v>
      </c>
      <c r="E159" s="3">
        <v>0</v>
      </c>
      <c r="H159" t="s">
        <v>240</v>
      </c>
    </row>
    <row r="160" spans="1:14" ht="28" x14ac:dyDescent="0.3">
      <c r="A160" s="2"/>
      <c r="B160" s="1"/>
      <c r="C160" s="1"/>
      <c r="D160" s="4" t="s">
        <v>172</v>
      </c>
      <c r="E160" s="1"/>
    </row>
    <row r="161" spans="1:11" x14ac:dyDescent="0.3">
      <c r="A161" s="2"/>
      <c r="B161" s="1">
        <v>10</v>
      </c>
      <c r="C161" s="1" t="s">
        <v>173</v>
      </c>
      <c r="D161" s="2" t="s">
        <v>174</v>
      </c>
      <c r="E161" s="3">
        <v>1</v>
      </c>
      <c r="H161" t="s">
        <v>241</v>
      </c>
    </row>
    <row r="162" spans="1:11" x14ac:dyDescent="0.3">
      <c r="A162" s="2"/>
      <c r="B162" s="1"/>
      <c r="C162" s="1"/>
      <c r="D162" s="4" t="s">
        <v>175</v>
      </c>
      <c r="E162" s="1"/>
    </row>
    <row r="163" spans="1:11" ht="42" x14ac:dyDescent="0.3">
      <c r="A163" s="2"/>
      <c r="B163" s="1"/>
      <c r="C163" s="1"/>
      <c r="D163" s="4" t="s">
        <v>176</v>
      </c>
      <c r="E163" s="1"/>
    </row>
    <row r="164" spans="1:11" x14ac:dyDescent="0.3">
      <c r="A164" s="2"/>
      <c r="B164" s="10">
        <v>0.375</v>
      </c>
      <c r="C164" s="1" t="s">
        <v>177</v>
      </c>
      <c r="D164" s="2" t="s">
        <v>178</v>
      </c>
      <c r="E164" s="3" t="s">
        <v>179</v>
      </c>
    </row>
    <row r="165" spans="1:11" x14ac:dyDescent="0.3">
      <c r="A165" s="2"/>
      <c r="B165" s="10"/>
      <c r="C165" s="1"/>
      <c r="D165" s="2"/>
      <c r="E165" s="3"/>
      <c r="H165" t="s">
        <v>242</v>
      </c>
    </row>
    <row r="166" spans="1:11" x14ac:dyDescent="0.3">
      <c r="A166" s="2"/>
      <c r="B166" s="10"/>
      <c r="C166" s="1"/>
      <c r="D166" s="2"/>
      <c r="E166" s="3"/>
      <c r="H166" t="s">
        <v>243</v>
      </c>
    </row>
    <row r="167" spans="1:11" x14ac:dyDescent="0.3">
      <c r="A167" s="2"/>
      <c r="B167" s="10"/>
      <c r="C167" s="1"/>
      <c r="D167" s="2"/>
      <c r="E167" s="3"/>
      <c r="H167" t="s">
        <v>244</v>
      </c>
    </row>
    <row r="168" spans="1:11" x14ac:dyDescent="0.3">
      <c r="A168" s="2"/>
      <c r="B168" s="1"/>
      <c r="C168" s="1"/>
      <c r="D168" s="4" t="s">
        <v>39</v>
      </c>
      <c r="E168" s="1"/>
      <c r="H168" t="s">
        <v>245</v>
      </c>
    </row>
    <row r="169" spans="1:11" ht="28" x14ac:dyDescent="0.3">
      <c r="A169" s="2"/>
      <c r="B169" s="1"/>
      <c r="C169" s="1"/>
      <c r="D169" s="4" t="s">
        <v>180</v>
      </c>
      <c r="E169" s="1"/>
      <c r="H169" t="s">
        <v>236</v>
      </c>
    </row>
    <row r="170" spans="1:11" x14ac:dyDescent="0.3">
      <c r="A170" s="2"/>
      <c r="B170" s="1"/>
      <c r="C170" s="1"/>
      <c r="D170" s="4" t="s">
        <v>42</v>
      </c>
      <c r="E170" s="1"/>
      <c r="H170" t="s">
        <v>246</v>
      </c>
    </row>
    <row r="171" spans="1:11" ht="28" x14ac:dyDescent="0.3">
      <c r="A171" s="2"/>
      <c r="B171" s="1"/>
      <c r="C171" s="1"/>
      <c r="D171" s="4" t="s">
        <v>181</v>
      </c>
      <c r="E171" s="1"/>
      <c r="H171" t="s">
        <v>247</v>
      </c>
    </row>
    <row r="172" spans="1:11" x14ac:dyDescent="0.3">
      <c r="A172" s="2"/>
      <c r="B172" s="1"/>
      <c r="C172" s="1"/>
      <c r="D172" s="4" t="s">
        <v>44</v>
      </c>
      <c r="E172" s="1"/>
      <c r="H172" t="s">
        <v>248</v>
      </c>
    </row>
    <row r="173" spans="1:11" ht="28" x14ac:dyDescent="0.3">
      <c r="A173" s="2"/>
      <c r="B173" s="1"/>
      <c r="C173" s="1"/>
      <c r="D173" s="4" t="s">
        <v>182</v>
      </c>
      <c r="E173" s="1"/>
      <c r="H173" t="s">
        <v>249</v>
      </c>
    </row>
    <row r="174" spans="1:11" ht="28" x14ac:dyDescent="0.3">
      <c r="A174" s="2"/>
      <c r="B174" s="1"/>
      <c r="C174" s="1"/>
      <c r="D174" s="4" t="s">
        <v>183</v>
      </c>
      <c r="E174" s="1"/>
      <c r="H174" t="s">
        <v>250</v>
      </c>
    </row>
    <row r="175" spans="1:11" s="6" customFormat="1" x14ac:dyDescent="0.3">
      <c r="A175" s="5" t="s">
        <v>184</v>
      </c>
      <c r="B175" s="11">
        <v>0.63124999999999998</v>
      </c>
      <c r="C175" s="7" t="s">
        <v>269</v>
      </c>
      <c r="D175" s="5" t="s">
        <v>185</v>
      </c>
      <c r="E175" s="7">
        <v>0</v>
      </c>
      <c r="G175" s="8"/>
      <c r="H175" s="15" t="s">
        <v>235</v>
      </c>
      <c r="I175" s="16" t="s">
        <v>262</v>
      </c>
      <c r="J175" s="16" t="s">
        <v>225</v>
      </c>
      <c r="K175" s="16" t="s">
        <v>226</v>
      </c>
    </row>
    <row r="176" spans="1:11" ht="28" x14ac:dyDescent="0.3">
      <c r="A176" s="2"/>
      <c r="B176" s="1"/>
      <c r="C176" s="1"/>
      <c r="D176" s="4" t="s">
        <v>186</v>
      </c>
      <c r="E176" s="1"/>
      <c r="H176" t="s">
        <v>237</v>
      </c>
      <c r="I176" s="13" t="s">
        <v>227</v>
      </c>
      <c r="J176" s="13" t="str">
        <f>HEX2BIN(J177)</f>
        <v>100000</v>
      </c>
      <c r="K176" s="13" t="str">
        <f>HEX2BIN(K177)</f>
        <v>111</v>
      </c>
    </row>
    <row r="177" spans="1:11" x14ac:dyDescent="0.3">
      <c r="A177" s="2"/>
      <c r="B177" s="1"/>
      <c r="C177" s="1"/>
      <c r="D177" s="4" t="s">
        <v>187</v>
      </c>
      <c r="E177" s="1"/>
      <c r="H177" t="s">
        <v>238</v>
      </c>
      <c r="I177" s="13" t="s">
        <v>228</v>
      </c>
      <c r="J177" s="13">
        <v>20</v>
      </c>
      <c r="K177" s="13">
        <v>7</v>
      </c>
    </row>
    <row r="178" spans="1:11" x14ac:dyDescent="0.3">
      <c r="A178" s="2"/>
      <c r="B178" s="1"/>
      <c r="C178" s="1"/>
      <c r="D178" s="4"/>
      <c r="E178" s="1"/>
      <c r="H178" t="s">
        <v>239</v>
      </c>
    </row>
    <row r="179" spans="1:11" x14ac:dyDescent="0.3">
      <c r="A179" s="2"/>
      <c r="B179" s="1"/>
      <c r="C179" s="1"/>
      <c r="D179" s="4"/>
      <c r="E179" s="1"/>
      <c r="H179" t="s">
        <v>240</v>
      </c>
    </row>
    <row r="180" spans="1:11" x14ac:dyDescent="0.3">
      <c r="A180" s="2"/>
      <c r="B180" s="1"/>
      <c r="C180" s="1"/>
      <c r="D180" s="4"/>
      <c r="E180" s="1"/>
      <c r="H180" t="s">
        <v>241</v>
      </c>
    </row>
    <row r="181" spans="1:11" x14ac:dyDescent="0.3">
      <c r="A181" s="2"/>
      <c r="B181" s="1"/>
      <c r="C181" s="1"/>
      <c r="D181" s="4"/>
      <c r="E181" s="1"/>
      <c r="H181" t="s">
        <v>242</v>
      </c>
    </row>
    <row r="182" spans="1:11" ht="28" x14ac:dyDescent="0.3">
      <c r="A182" s="2"/>
      <c r="B182" s="1">
        <v>8</v>
      </c>
      <c r="C182" s="1" t="s">
        <v>270</v>
      </c>
      <c r="D182" s="4" t="s">
        <v>188</v>
      </c>
      <c r="E182" s="3">
        <v>0</v>
      </c>
      <c r="H182" t="s">
        <v>243</v>
      </c>
    </row>
    <row r="183" spans="1:11" x14ac:dyDescent="0.3">
      <c r="A183" s="2"/>
      <c r="B183" s="1">
        <v>7</v>
      </c>
      <c r="C183" s="1" t="s">
        <v>189</v>
      </c>
      <c r="D183" s="4" t="s">
        <v>190</v>
      </c>
      <c r="E183" s="3">
        <v>0</v>
      </c>
      <c r="H183" t="s">
        <v>244</v>
      </c>
    </row>
    <row r="184" spans="1:11" x14ac:dyDescent="0.3">
      <c r="A184" s="2"/>
      <c r="B184" s="10">
        <v>0.25347222222222221</v>
      </c>
      <c r="C184" s="1" t="s">
        <v>191</v>
      </c>
      <c r="D184" s="2" t="s">
        <v>63</v>
      </c>
      <c r="E184" s="1"/>
      <c r="H184" t="s">
        <v>245</v>
      </c>
    </row>
    <row r="185" spans="1:11" x14ac:dyDescent="0.3">
      <c r="A185" s="2"/>
      <c r="B185" s="10"/>
      <c r="C185" s="1"/>
      <c r="D185" s="2"/>
      <c r="E185" s="1"/>
      <c r="H185" t="s">
        <v>236</v>
      </c>
    </row>
    <row r="186" spans="1:11" ht="42" x14ac:dyDescent="0.3">
      <c r="A186" s="2"/>
      <c r="B186" s="1">
        <v>4</v>
      </c>
      <c r="C186" s="1" t="s">
        <v>192</v>
      </c>
      <c r="D186" s="4" t="s">
        <v>193</v>
      </c>
      <c r="E186" s="3">
        <v>0</v>
      </c>
      <c r="H186" t="s">
        <v>246</v>
      </c>
    </row>
    <row r="187" spans="1:11" ht="42" x14ac:dyDescent="0.3">
      <c r="A187" s="2"/>
      <c r="B187" s="10">
        <v>0.12638888888888888</v>
      </c>
      <c r="C187" s="1" t="s">
        <v>194</v>
      </c>
      <c r="D187" s="2" t="s">
        <v>195</v>
      </c>
      <c r="E187" s="3">
        <v>0</v>
      </c>
      <c r="H187" t="s">
        <v>247</v>
      </c>
    </row>
    <row r="188" spans="1:11" ht="70" x14ac:dyDescent="0.3">
      <c r="A188" s="2"/>
      <c r="B188" s="1"/>
      <c r="C188" s="1"/>
      <c r="D188" s="4" t="s">
        <v>266</v>
      </c>
      <c r="E188" s="1"/>
      <c r="H188" t="s">
        <v>248</v>
      </c>
    </row>
    <row r="189" spans="1:11" ht="28" x14ac:dyDescent="0.3">
      <c r="A189" s="2"/>
      <c r="B189" s="1"/>
      <c r="C189" s="1"/>
      <c r="D189" s="4" t="s">
        <v>169</v>
      </c>
      <c r="E189" s="1"/>
    </row>
    <row r="190" spans="1:11" ht="42" x14ac:dyDescent="0.3">
      <c r="A190" s="2"/>
      <c r="B190" s="10">
        <v>4.1666666666666664E-2</v>
      </c>
      <c r="C190" s="1" t="s">
        <v>196</v>
      </c>
      <c r="D190" s="2" t="s">
        <v>197</v>
      </c>
      <c r="E190" s="3">
        <v>0</v>
      </c>
      <c r="H190" t="s">
        <v>249</v>
      </c>
    </row>
    <row r="191" spans="1:11" x14ac:dyDescent="0.3">
      <c r="A191" s="2"/>
      <c r="B191" s="10"/>
      <c r="C191" s="1"/>
      <c r="D191" s="2"/>
      <c r="E191" s="3"/>
      <c r="H191" t="s">
        <v>250</v>
      </c>
    </row>
    <row r="192" spans="1:11" s="6" customFormat="1" ht="42" x14ac:dyDescent="0.3">
      <c r="A192" s="5" t="s">
        <v>198</v>
      </c>
      <c r="B192" s="7" t="s">
        <v>199</v>
      </c>
      <c r="C192" s="7" t="s">
        <v>200</v>
      </c>
      <c r="D192" s="5" t="s">
        <v>201</v>
      </c>
      <c r="E192" s="7" t="s">
        <v>202</v>
      </c>
      <c r="G192" s="8"/>
      <c r="H192" s="15"/>
      <c r="I192" s="8"/>
      <c r="J192" s="8"/>
      <c r="K192" s="8"/>
    </row>
    <row r="193" spans="1:11" s="6" customFormat="1" ht="42" x14ac:dyDescent="0.3">
      <c r="A193" s="5" t="s">
        <v>203</v>
      </c>
      <c r="B193" s="7" t="s">
        <v>199</v>
      </c>
      <c r="C193" s="7" t="s">
        <v>204</v>
      </c>
      <c r="D193" s="5" t="s">
        <v>205</v>
      </c>
      <c r="E193" s="7" t="s">
        <v>206</v>
      </c>
      <c r="G193" s="8"/>
      <c r="H193" s="15"/>
      <c r="I193" s="8"/>
      <c r="J193" s="8"/>
      <c r="K193" s="8"/>
    </row>
    <row r="194" spans="1:11" s="6" customFormat="1" ht="42" x14ac:dyDescent="0.3">
      <c r="A194" s="5" t="s">
        <v>207</v>
      </c>
      <c r="B194" s="7" t="s">
        <v>199</v>
      </c>
      <c r="C194" s="7" t="s">
        <v>208</v>
      </c>
      <c r="D194" s="5" t="s">
        <v>209</v>
      </c>
      <c r="E194" s="7" t="s">
        <v>210</v>
      </c>
      <c r="G194" s="8"/>
      <c r="H194" s="15"/>
      <c r="I194" s="8"/>
      <c r="J194" s="8"/>
      <c r="K194" s="8"/>
    </row>
    <row r="195" spans="1:11" s="6" customFormat="1" ht="42" x14ac:dyDescent="0.3">
      <c r="A195" s="5" t="s">
        <v>211</v>
      </c>
      <c r="B195" s="7" t="s">
        <v>199</v>
      </c>
      <c r="C195" s="7" t="s">
        <v>212</v>
      </c>
      <c r="D195" s="5" t="s">
        <v>229</v>
      </c>
      <c r="E195" s="7" t="s">
        <v>206</v>
      </c>
      <c r="G195" s="8"/>
      <c r="H195" s="15"/>
      <c r="I195" s="8"/>
      <c r="J195" s="8"/>
      <c r="K195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辰浩 靳</cp:lastModifiedBy>
  <dcterms:created xsi:type="dcterms:W3CDTF">2015-06-05T18:19:34Z</dcterms:created>
  <dcterms:modified xsi:type="dcterms:W3CDTF">2024-11-30T08:27:28Z</dcterms:modified>
</cp:coreProperties>
</file>